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Premissas" sheetId="2" state="visible" r:id="rId2"/>
    <sheet xmlns:r="http://schemas.openxmlformats.org/officeDocument/2006/relationships" name="Cenarios" sheetId="3" state="visible" r:id="rId3"/>
    <sheet xmlns:r="http://schemas.openxmlformats.org/officeDocument/2006/relationships" name="Tarifa de grup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&quot;x&quot;"/>
    <numFmt numFmtId="166" formatCode="0.0"/>
  </numFmts>
  <fonts count="8">
    <font>
      <name val="Calibri"/>
      <family val="2"/>
      <color theme="1"/>
      <sz val="11"/>
      <scheme val="minor"/>
    </font>
    <font>
      <name val="Calibri"/>
      <b val="1"/>
      <color rgb="000B1220"/>
      <sz val="14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b val="1"/>
      <color rgb="000B1220"/>
      <sz val="10"/>
    </font>
    <font>
      <name val="Calibri"/>
      <color rgb="000B1220"/>
      <sz val="10"/>
    </font>
    <font>
      <name val="Calibri"/>
      <b val="1"/>
      <color rgb="00B85042"/>
      <sz val="10"/>
    </font>
    <font>
      <name val="Calibri"/>
      <b val="1"/>
      <color rgb="000B1220"/>
      <sz val="12"/>
    </font>
  </fonts>
  <fills count="5">
    <fill>
      <patternFill/>
    </fill>
    <fill>
      <patternFill patternType="gray125"/>
    </fill>
    <fill>
      <patternFill patternType="solid">
        <fgColor rgb="001B2435"/>
      </patternFill>
    </fill>
    <fill>
      <patternFill patternType="solid">
        <fgColor rgb="00FDF1CB"/>
      </patternFill>
    </fill>
    <fill>
      <patternFill patternType="solid">
        <fgColor rgb="00E6E8F0"/>
      </patternFill>
    </fill>
  </fills>
  <borders count="2">
    <border>
      <left/>
      <right/>
      <top/>
      <bottom/>
      <diagonal/>
    </border>
    <border>
      <left style="thin">
        <color rgb="00E3E6EC"/>
      </left>
      <right style="thin">
        <color rgb="00E3E6EC"/>
      </right>
      <top style="thin">
        <color rgb="00E3E6EC"/>
      </top>
      <bottom style="thin">
        <color rgb="00E3E6E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3" fontId="5" fillId="0" borderId="1" pivotButton="0" quotePrefix="0" xfId="0"/>
    <xf numFmtId="3" fontId="4" fillId="3" borderId="1" pivotButton="0" quotePrefix="0" xfId="0"/>
    <xf numFmtId="0" fontId="7" fillId="0" borderId="0" pivotButton="0" quotePrefix="0" xfId="0"/>
    <xf numFmtId="0" fontId="5" fillId="0" borderId="1" pivotButton="0" quotePrefix="0" xfId="0"/>
    <xf numFmtId="3" fontId="4" fillId="0" borderId="1" pivotButton="0" quotePrefix="0" xfId="0"/>
    <xf numFmtId="165" fontId="5" fillId="0" borderId="1" pivotButton="0" quotePrefix="0" xfId="0"/>
    <xf numFmtId="164" fontId="5" fillId="0" borderId="1" pivotButton="0" quotePrefix="0" xfId="0"/>
    <xf numFmtId="4" fontId="4" fillId="0" borderId="1" pivotButton="0" quotePrefix="0" xfId="0"/>
    <xf numFmtId="164" fontId="4" fillId="0" borderId="1" pivotButton="0" quotePrefix="0" xfId="0"/>
    <xf numFmtId="0" fontId="6" fillId="0" borderId="0" pivotButton="0" quotePrefix="0" xfId="0"/>
    <xf numFmtId="164" fontId="4" fillId="3" borderId="1" pivotButton="0" quotePrefix="0" xfId="0"/>
    <xf numFmtId="0" fontId="6" fillId="0" borderId="1" pivotButton="0" quotePrefix="0" xfId="0"/>
    <xf numFmtId="3" fontId="4" fillId="4" borderId="1" pivotButton="0" quotePrefix="0" xfId="0"/>
    <xf numFmtId="165" fontId="4" fillId="4" borderId="1" pivotButton="0" quotePrefix="0" xfId="0"/>
    <xf numFmtId="4" fontId="4" fillId="4" borderId="1" pivotButton="0" quotePrefix="0" xfId="0"/>
    <xf numFmtId="2" fontId="4" fillId="4" borderId="1" pivotButton="0" quotePrefix="0" xfId="0"/>
    <xf numFmtId="3" fontId="5" fillId="3" borderId="1" pivotButton="0" quotePrefix="0" xfId="0"/>
    <xf numFmtId="0" fontId="3" fillId="2" borderId="1" pivotButton="0" quotePrefix="0" xfId="0"/>
    <xf numFmtId="0" fontId="5" fillId="2" borderId="1" pivotButton="0" quotePrefix="0" xfId="0"/>
    <xf numFmtId="3" fontId="3" fillId="2" borderId="1" pivotButton="0" quotePrefix="0" xfId="0"/>
    <xf numFmtId="164" fontId="4" fillId="4" borderId="1" pivotButton="0" quotePrefix="0" xfId="0"/>
    <xf numFmtId="164" fontId="5" fillId="3" borderId="1" pivotButton="0" quotePrefix="0" xfId="0"/>
    <xf numFmtId="166" fontId="4" fillId="4" borderId="1" pivotButton="0" quotePrefix="0" xfId="0"/>
    <xf numFmtId="3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6" customWidth="1" min="5" max="5"/>
    <col width="12" customWidth="1" min="6" max="6"/>
    <col width="16" customWidth="1" min="7" max="7"/>
    <col width="18" customWidth="1" min="8" max="8"/>
  </cols>
  <sheetData>
    <row r="1">
      <c r="A1" s="1" t="inlineStr">
        <is>
          <t>Antevia - Projecao de receitas (v2) - resumo</t>
        </is>
      </c>
    </row>
    <row r="2">
      <c r="A2" s="2" t="inlineStr">
        <is>
          <t>Modelo em 3 fases: o poder de negociacao com fornecedores e conquistado, nao assumido.</t>
        </is>
      </c>
    </row>
    <row r="4">
      <c r="A4" s="3" t="inlineStr">
        <is>
          <t>Cenario</t>
        </is>
      </c>
      <c r="B4" s="3" t="inlineStr">
        <is>
          <t>Ano 1</t>
        </is>
      </c>
      <c r="C4" s="3" t="inlineStr">
        <is>
          <t>Ano 2</t>
        </is>
      </c>
      <c r="D4" s="3" t="inlineStr">
        <is>
          <t>Ano 3</t>
        </is>
      </c>
      <c r="E4" s="3" t="inlineStr">
        <is>
          <t>Total 3 anos</t>
        </is>
      </c>
      <c r="F4" s="3" t="inlineStr">
        <is>
          <t>Viagens</t>
        </is>
      </c>
      <c r="G4" s="3" t="inlineStr">
        <is>
          <t>GMV</t>
        </is>
      </c>
      <c r="H4" s="3" t="inlineStr">
        <is>
          <t>Economia alunos</t>
        </is>
      </c>
    </row>
    <row r="5">
      <c r="A5" s="4" t="inlineStr">
        <is>
          <t>Pessimista</t>
        </is>
      </c>
      <c r="B5" s="5">
        <f>Cenarios!F22</f>
        <v/>
      </c>
      <c r="C5" s="5">
        <f>Cenarios!F23</f>
        <v/>
      </c>
      <c r="D5" s="5">
        <f>Cenarios!F24</f>
        <v/>
      </c>
      <c r="E5" s="6">
        <f>Cenarios!F21</f>
        <v/>
      </c>
      <c r="F5" s="5">
        <f>Cenarios!E21</f>
        <v/>
      </c>
      <c r="G5" s="5">
        <f>Cenarios!G21</f>
        <v/>
      </c>
      <c r="H5" s="5">
        <f>Cenarios!H21</f>
        <v/>
      </c>
    </row>
    <row r="6">
      <c r="A6" s="4" t="inlineStr">
        <is>
          <t>Tendencial</t>
        </is>
      </c>
      <c r="B6" s="5">
        <f>Cenarios!F44</f>
        <v/>
      </c>
      <c r="C6" s="5">
        <f>Cenarios!F45</f>
        <v/>
      </c>
      <c r="D6" s="5">
        <f>Cenarios!F46</f>
        <v/>
      </c>
      <c r="E6" s="6">
        <f>Cenarios!F43</f>
        <v/>
      </c>
      <c r="F6" s="5">
        <f>Cenarios!E43</f>
        <v/>
      </c>
      <c r="G6" s="5">
        <f>Cenarios!G43</f>
        <v/>
      </c>
      <c r="H6" s="5">
        <f>Cenarios!H43</f>
        <v/>
      </c>
    </row>
    <row r="7">
      <c r="A7" s="4" t="inlineStr">
        <is>
          <t>Otimista</t>
        </is>
      </c>
      <c r="B7" s="5">
        <f>Cenarios!F66</f>
        <v/>
      </c>
      <c r="C7" s="5">
        <f>Cenarios!F67</f>
        <v/>
      </c>
      <c r="D7" s="5">
        <f>Cenarios!F68</f>
        <v/>
      </c>
      <c r="E7" s="6">
        <f>Cenarios!F65</f>
        <v/>
      </c>
      <c r="F7" s="5">
        <f>Cenarios!E65</f>
        <v/>
      </c>
      <c r="G7" s="5">
        <f>Cenarios!G65</f>
        <v/>
      </c>
      <c r="H7" s="5">
        <f>Cenarios!H65</f>
        <v/>
      </c>
    </row>
    <row r="10">
      <c r="A10" s="7" t="inlineStr">
        <is>
          <t>As tres fases de poder de negociacao</t>
        </is>
      </c>
    </row>
    <row r="11">
      <c r="A11" s="3" t="inlineStr">
        <is>
          <t>Fase</t>
        </is>
      </c>
      <c r="B11" s="3" t="inlineStr">
        <is>
          <t>Como compramos</t>
        </is>
      </c>
      <c r="C11" s="3" t="inlineStr">
        <is>
          <t>Ticket</t>
        </is>
      </c>
      <c r="D11" s="3" t="inlineStr">
        <is>
          <t>Economia liquida</t>
        </is>
      </c>
      <c r="E11" s="3" t="inlineStr">
        <is>
          <t>Retorno</t>
        </is>
      </c>
      <c r="F11" s="3" t="inlineStr">
        <is>
          <t>Comissao</t>
        </is>
      </c>
      <c r="G11" s="3" t="inlineStr">
        <is>
          <t>R$/viagem</t>
        </is>
      </c>
    </row>
    <row r="12">
      <c r="A12" s="4" t="inlineStr">
        <is>
          <t>Fase 1</t>
        </is>
      </c>
      <c r="B12" s="8" t="inlineStr">
        <is>
          <t>Apoio da consolidadora - so antecipacao</t>
        </is>
      </c>
      <c r="C12" s="5">
        <f>Premissas!C26</f>
        <v/>
      </c>
      <c r="D12" s="9">
        <f>Premissas!C28</f>
        <v/>
      </c>
      <c r="E12" s="10">
        <f>Premissas!C29</f>
        <v/>
      </c>
      <c r="F12" s="11">
        <f>Premissas!C22</f>
        <v/>
      </c>
      <c r="G12" s="12">
        <f>Premissas!C31</f>
        <v/>
      </c>
    </row>
    <row r="13">
      <c r="A13" s="4" t="inlineStr">
        <is>
          <t>Fase 2</t>
        </is>
      </c>
      <c r="B13" s="8" t="inlineStr">
        <is>
          <t>Bloqueios pontuais nas rotas que concentram</t>
        </is>
      </c>
      <c r="C13" s="5">
        <f>Premissas!D26</f>
        <v/>
      </c>
      <c r="D13" s="9">
        <f>Premissas!D28</f>
        <v/>
      </c>
      <c r="E13" s="10">
        <f>Premissas!D29</f>
        <v/>
      </c>
      <c r="F13" s="11">
        <f>Premissas!D22</f>
        <v/>
      </c>
      <c r="G13" s="12">
        <f>Premissas!D31</f>
        <v/>
      </c>
    </row>
    <row r="14">
      <c r="A14" s="4" t="inlineStr">
        <is>
          <t>Fase 3</t>
        </is>
      </c>
      <c r="B14" s="8" t="inlineStr">
        <is>
          <t>Convenio proprio</t>
        </is>
      </c>
      <c r="C14" s="5">
        <f>Premissas!E26</f>
        <v/>
      </c>
      <c r="D14" s="9">
        <f>Premissas!E28</f>
        <v/>
      </c>
      <c r="E14" s="10">
        <f>Premissas!E29</f>
        <v/>
      </c>
      <c r="F14" s="11">
        <f>Premissas!E22</f>
        <v/>
      </c>
      <c r="G14" s="12">
        <f>Premissas!E31</f>
        <v/>
      </c>
    </row>
    <row r="17">
      <c r="A17" s="7" t="inlineStr">
        <is>
          <t>Sensibilidade - uma variavel por vez, base tendencial</t>
        </is>
      </c>
    </row>
    <row r="18">
      <c r="A18" s="3" t="inlineStr">
        <is>
          <t>Variavel</t>
        </is>
      </c>
      <c r="B18" s="3" t="inlineStr">
        <is>
          <t>Baixo</t>
        </is>
      </c>
      <c r="C18" s="3" t="inlineStr">
        <is>
          <t>Base</t>
        </is>
      </c>
      <c r="D18" s="3" t="inlineStr">
        <is>
          <t>Alto</t>
        </is>
      </c>
      <c r="E18" s="3" t="inlineStr">
        <is>
          <t>Impacto -</t>
        </is>
      </c>
      <c r="F18" s="3" t="inlineStr">
        <is>
          <t>Impacto +</t>
        </is>
      </c>
    </row>
    <row r="19">
      <c r="A19" s="4" t="inlineStr">
        <is>
          <t>Tamanho da turma (30 / 60 alunos)</t>
        </is>
      </c>
      <c r="B19" s="5">
        <f>Cenarios!$F$43*30/40</f>
        <v/>
      </c>
      <c r="C19" s="5">
        <f>Cenarios!$F$43</f>
        <v/>
      </c>
      <c r="D19" s="5">
        <f>Cenarios!$F$43*60/40</f>
        <v/>
      </c>
      <c r="E19" s="13">
        <f>B19/C19-1</f>
        <v/>
      </c>
      <c r="F19" s="13">
        <f>D19/C19-1</f>
        <v/>
      </c>
    </row>
    <row r="20">
      <c r="A20" s="4" t="inlineStr">
        <is>
          <t>Adesao (20/30/40% vs 40/55/70%)</t>
        </is>
      </c>
      <c r="B20" s="5" t="n">
        <v>639487</v>
      </c>
      <c r="C20" s="5">
        <f>Cenarios!$F$43</f>
        <v/>
      </c>
      <c r="D20" s="5" t="n">
        <v>1137087</v>
      </c>
      <c r="E20" s="13">
        <f>B20/C20-1</f>
        <v/>
      </c>
      <c r="F20" s="13">
        <f>D20/C20-1</f>
        <v/>
      </c>
    </row>
    <row r="21">
      <c r="A21" s="8" t="inlineStr">
        <is>
          <t>Ritmo de contratacao de turmas (+/-30%)</t>
        </is>
      </c>
      <c r="B21" s="5">
        <f>Cenarios!$F$43*0.7</f>
        <v/>
      </c>
      <c r="C21" s="5">
        <f>Cenarios!$F$43</f>
        <v/>
      </c>
      <c r="D21" s="5">
        <f>Cenarios!$F$43*1.3</f>
        <v/>
      </c>
      <c r="E21" s="11">
        <f>B21/C21-1</f>
        <v/>
      </c>
      <c r="F21" s="11">
        <f>D21/C21-1</f>
        <v/>
      </c>
    </row>
    <row r="22">
      <c r="A22" s="8" t="inlineStr">
        <is>
          <t>Comissao (uma faixa abaixo / acima)</t>
        </is>
      </c>
      <c r="B22" s="5" t="n">
        <v>824602</v>
      </c>
      <c r="C22" s="5">
        <f>Cenarios!$F$43</f>
        <v/>
      </c>
      <c r="D22" s="5" t="n">
        <v>1236730</v>
      </c>
      <c r="E22" s="11">
        <f>B22/C22-1</f>
        <v/>
      </c>
      <c r="F22" s="11">
        <f>D22/C22-1</f>
        <v/>
      </c>
    </row>
    <row r="23">
      <c r="A23" s="8" t="inlineStr">
        <is>
          <t>Taxa de servico (R$ 50 / R$ 150)</t>
        </is>
      </c>
      <c r="B23" s="5" t="n">
        <v>721630</v>
      </c>
      <c r="C23" s="5">
        <f>Cenarios!$F$43</f>
        <v/>
      </c>
      <c r="D23" s="5" t="n">
        <v>1196830</v>
      </c>
      <c r="E23" s="11">
        <f>B23/C23-1</f>
        <v/>
      </c>
      <c r="F23" s="11">
        <f>D23/C23-1</f>
        <v/>
      </c>
    </row>
    <row r="25">
      <c r="A25" s="14" t="inlineStr">
        <is>
          <t>As tres primeiras estao na mesma faixa de importancia. A primeira nunca foi validada.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2" customWidth="1" min="6" max="6"/>
  </cols>
  <sheetData>
    <row r="1">
      <c r="A1" s="1" t="inlineStr">
        <is>
          <t>Antevia - Sprint 4 (v2) - Premissas</t>
        </is>
      </c>
    </row>
    <row r="2">
      <c r="A2" s="2" t="inlineStr">
        <is>
          <t>Dourado = entrada editavel. Azul claro = derivado por formula. O modelo evolui em 3 fases de poder de negociacao.</t>
        </is>
      </c>
    </row>
    <row r="4">
      <c r="A4" s="3" t="inlineStr">
        <is>
          <t>ID</t>
        </is>
      </c>
      <c r="B4" s="3" t="inlineStr">
        <is>
          <t>Premissa</t>
        </is>
      </c>
      <c r="C4" s="3" t="inlineStr">
        <is>
          <t>Valor</t>
        </is>
      </c>
      <c r="D4" s="3" t="inlineStr">
        <is>
          <t>Unid.</t>
        </is>
      </c>
      <c r="E4" s="3" t="inlineStr">
        <is>
          <t>Origem</t>
        </is>
      </c>
      <c r="F4" s="3" t="inlineStr">
        <is>
          <t>Status</t>
        </is>
      </c>
    </row>
    <row r="5">
      <c r="A5" s="4" t="inlineStr">
        <is>
          <t>P1</t>
        </is>
      </c>
      <c r="B5" s="8" t="inlineStr">
        <is>
          <t>Matriculados em pos-graduacao (Brasil)</t>
        </is>
      </c>
      <c r="C5" s="6" t="n">
        <v>1400000</v>
      </c>
      <c r="D5" s="8" t="inlineStr">
        <is>
          <t>alunos</t>
        </is>
      </c>
      <c r="E5" s="8" t="inlineStr">
        <is>
          <t>IBGE</t>
        </is>
      </c>
      <c r="F5" s="8" t="inlineStr">
        <is>
          <t>Validada</t>
        </is>
      </c>
    </row>
    <row r="6">
      <c r="A6" s="4" t="inlineStr">
        <is>
          <t>P2</t>
        </is>
      </c>
      <c r="B6" s="8" t="inlineStr">
        <is>
          <t>Fatia em programas executivos presenciais</t>
        </is>
      </c>
      <c r="C6" s="15" t="n">
        <v>0.12</v>
      </c>
      <c r="D6" s="8" t="inlineStr">
        <is>
          <t>%</t>
        </is>
      </c>
      <c r="E6" s="8" t="inlineStr">
        <is>
          <t>Estimativa</t>
        </is>
      </c>
      <c r="F6" s="16" t="inlineStr">
        <is>
          <t>A validar</t>
        </is>
      </c>
    </row>
    <row r="7">
      <c r="A7" s="4" t="inlineStr">
        <is>
          <t>P3</t>
        </is>
      </c>
      <c r="B7" s="8" t="inlineStr">
        <is>
          <t>Fatia que viaja de outra cidade</t>
        </is>
      </c>
      <c r="C7" s="15" t="n">
        <v>0.25</v>
      </c>
      <c r="D7" s="8" t="inlineStr">
        <is>
          <t>%</t>
        </is>
      </c>
      <c r="E7" s="8" t="inlineStr">
        <is>
          <t>Entrevistas S1</t>
        </is>
      </c>
      <c r="F7" s="16" t="inlineStr">
        <is>
          <t>A validar</t>
        </is>
      </c>
    </row>
    <row r="8">
      <c r="A8" s="4" t="inlineStr">
        <is>
          <t>P4</t>
        </is>
      </c>
      <c r="B8" s="8" t="inlineStr">
        <is>
          <t>SAM como fatia do TAM</t>
        </is>
      </c>
      <c r="C8" s="15" t="n">
        <v>0.25</v>
      </c>
      <c r="D8" s="8" t="inlineStr">
        <is>
          <t>%</t>
        </is>
      </c>
      <c r="E8" s="8" t="inlineStr">
        <is>
          <t>Estimativa</t>
        </is>
      </c>
      <c r="F8" s="16" t="inlineStr">
        <is>
          <t>A validar</t>
        </is>
      </c>
    </row>
    <row r="9">
      <c r="A9" s="4" t="inlineStr">
        <is>
          <t>P5</t>
        </is>
      </c>
      <c r="B9" s="8" t="inlineStr">
        <is>
          <t>ALUNOS POR TURMA</t>
        </is>
      </c>
      <c r="C9" s="6" t="n">
        <v>40</v>
      </c>
      <c r="D9" s="8" t="inlineStr">
        <is>
          <t>alunos</t>
        </is>
      </c>
      <c r="E9" s="8" t="inlineStr">
        <is>
          <t>Estimativa do grupo</t>
        </is>
      </c>
      <c r="F9" s="16" t="inlineStr">
        <is>
          <t>A validar</t>
        </is>
      </c>
    </row>
    <row r="10">
      <c r="A10" s="4" t="inlineStr">
        <is>
          <t>P6</t>
        </is>
      </c>
      <c r="B10" s="8" t="inlineStr">
        <is>
          <t>Modulos por programa</t>
        </is>
      </c>
      <c r="C10" s="6" t="n">
        <v>12</v>
      </c>
      <c r="D10" s="8" t="inlineStr">
        <is>
          <t>modulos</t>
        </is>
      </c>
      <c r="E10" s="8" t="inlineStr">
        <is>
          <t>Exemplo da banca</t>
        </is>
      </c>
      <c r="F10" s="16" t="inlineStr">
        <is>
          <t>A validar</t>
        </is>
      </c>
    </row>
    <row r="11">
      <c r="A11" s="4" t="inlineStr">
        <is>
          <t>P7</t>
        </is>
      </c>
      <c r="B11" s="8" t="inlineStr">
        <is>
          <t>Duracao do ciclo da turma</t>
        </is>
      </c>
      <c r="C11" s="6" t="n">
        <v>20</v>
      </c>
      <c r="D11" s="8" t="inlineStr">
        <is>
          <t>meses</t>
        </is>
      </c>
      <c r="E11" s="8" t="inlineStr">
        <is>
          <t>Persona Ricardo</t>
        </is>
      </c>
      <c r="F11" s="8" t="inlineStr">
        <is>
          <t>Validada</t>
        </is>
      </c>
    </row>
    <row r="12">
      <c r="A12" s="4" t="inlineStr">
        <is>
          <t>P8</t>
        </is>
      </c>
      <c r="B12" s="8" t="inlineStr">
        <is>
          <t>Origens principais por turma</t>
        </is>
      </c>
      <c r="C12" s="6" t="n">
        <v>6</v>
      </c>
      <c r="D12" s="8" t="inlineStr">
        <is>
          <t>origens</t>
        </is>
      </c>
      <c r="E12" s="8" t="inlineStr">
        <is>
          <t>Velt (5-8)</t>
        </is>
      </c>
      <c r="F12" s="8" t="inlineStr">
        <is>
          <t>Calibrada</t>
        </is>
      </c>
    </row>
    <row r="13">
      <c r="A13" s="4" t="inlineStr">
        <is>
          <t>P15</t>
        </is>
      </c>
      <c r="B13" s="8" t="inlineStr">
        <is>
          <t>Taxa de servico por modulo</t>
        </is>
      </c>
      <c r="C13" s="6" t="n">
        <v>100</v>
      </c>
      <c r="D13" s="8" t="inlineStr">
        <is>
          <t>R$</t>
        </is>
      </c>
      <c r="E13" s="8" t="inlineStr">
        <is>
          <t>H6 Sprint 1</t>
        </is>
      </c>
      <c r="F13" s="16" t="inlineStr">
        <is>
          <t>A validar</t>
        </is>
      </c>
    </row>
    <row r="14">
      <c r="A14" s="4" t="inlineStr">
        <is>
          <t>P21</t>
        </is>
      </c>
      <c r="B14" s="8" t="inlineStr">
        <is>
          <t>Pax minimos p/ tarifa de grupo</t>
        </is>
      </c>
      <c r="C14" s="6" t="n">
        <v>10</v>
      </c>
      <c r="D14" s="8" t="inlineStr">
        <is>
          <t>pax</t>
        </is>
      </c>
      <c r="E14" s="8" t="inlineStr">
        <is>
          <t>Pratica mercado</t>
        </is>
      </c>
      <c r="F14" s="16" t="inlineStr">
        <is>
          <t>A validar</t>
        </is>
      </c>
    </row>
    <row r="16">
      <c r="A16" s="7" t="inlineStr">
        <is>
          <t>Parametros por fase</t>
        </is>
      </c>
    </row>
    <row r="17">
      <c r="A17" s="3" t="inlineStr">
        <is>
          <t>Item</t>
        </is>
      </c>
      <c r="B17" s="3" t="inlineStr">
        <is>
          <t>Hoje</t>
        </is>
      </c>
      <c r="C17" s="3" t="inlineStr">
        <is>
          <t>Fase 1 (ano 1)</t>
        </is>
      </c>
      <c r="D17" s="3" t="inlineStr">
        <is>
          <t>Fase 2 (ano 2)</t>
        </is>
      </c>
      <c r="E17" s="3" t="inlineStr">
        <is>
          <t>Fase 3 (ano 3)</t>
        </is>
      </c>
    </row>
    <row r="18">
      <c r="A18" s="8" t="inlineStr">
        <is>
          <t>Aereo ida e volta</t>
        </is>
      </c>
      <c r="B18" s="6" t="n">
        <v>1400</v>
      </c>
      <c r="C18" s="6" t="n">
        <v>1150</v>
      </c>
      <c r="D18" s="6" t="n">
        <v>1080</v>
      </c>
      <c r="E18" s="6" t="n">
        <v>1020</v>
      </c>
    </row>
    <row r="19">
      <c r="A19" s="8" t="inlineStr">
        <is>
          <t>Hotel 2 diarias</t>
        </is>
      </c>
      <c r="B19" s="6" t="n">
        <v>600</v>
      </c>
      <c r="C19" s="6" t="n">
        <v>570</v>
      </c>
      <c r="D19" s="6" t="n">
        <v>530</v>
      </c>
      <c r="E19" s="6" t="n">
        <v>500</v>
      </c>
    </row>
    <row r="20">
      <c r="A20" s="8" t="inlineStr">
        <is>
          <t>Traslado</t>
        </is>
      </c>
      <c r="B20" s="6" t="n">
        <v>200</v>
      </c>
      <c r="C20" s="6" t="n">
        <v>200</v>
      </c>
      <c r="D20" s="6" t="n">
        <v>190</v>
      </c>
      <c r="E20" s="6" t="n">
        <v>180</v>
      </c>
    </row>
    <row r="21">
      <c r="A21" s="8" t="inlineStr">
        <is>
          <t>Adesao da turma (tendencial)</t>
        </is>
      </c>
      <c r="B21" s="8" t="inlineStr">
        <is>
          <t>-</t>
        </is>
      </c>
      <c r="C21" s="15" t="n">
        <v>0.3</v>
      </c>
      <c r="D21" s="15" t="n">
        <v>0.45</v>
      </c>
      <c r="E21" s="15" t="n">
        <v>0.6</v>
      </c>
    </row>
    <row r="22">
      <c r="A22" s="8" t="inlineStr">
        <is>
          <t>Comissao media sobre o ticket</t>
        </is>
      </c>
      <c r="B22" s="8" t="inlineStr">
        <is>
          <t>-</t>
        </is>
      </c>
      <c r="C22" s="15" t="n">
        <v>0.03</v>
      </c>
      <c r="D22" s="15" t="n">
        <v>0.05</v>
      </c>
      <c r="E22" s="15" t="n">
        <v>0.064</v>
      </c>
    </row>
    <row r="24">
      <c r="A24" s="7" t="inlineStr">
        <is>
          <t>Derivados por fase</t>
        </is>
      </c>
    </row>
    <row r="25">
      <c r="A25" s="3" t="inlineStr">
        <is>
          <t>Item</t>
        </is>
      </c>
      <c r="B25" s="3" t="inlineStr">
        <is>
          <t>Hoje</t>
        </is>
      </c>
      <c r="C25" s="3" t="inlineStr">
        <is>
          <t>Fase 1</t>
        </is>
      </c>
      <c r="D25" s="3" t="inlineStr">
        <is>
          <t>Fase 2</t>
        </is>
      </c>
      <c r="E25" s="3" t="inlineStr">
        <is>
          <t>Fase 3</t>
        </is>
      </c>
    </row>
    <row r="26">
      <c r="A26" s="8" t="inlineStr">
        <is>
          <t>Ticket logistico</t>
        </is>
      </c>
      <c r="B26" s="17">
        <f>B18+B19+B20</f>
        <v/>
      </c>
      <c r="C26" s="17">
        <f>C18+C19+C20</f>
        <v/>
      </c>
      <c r="D26" s="17">
        <f>D18+D19+D20</f>
        <v/>
      </c>
      <c r="E26" s="17">
        <f>E18+E19+E20</f>
        <v/>
      </c>
    </row>
    <row r="27">
      <c r="A27" s="8" t="inlineStr">
        <is>
          <t>Economia bruta vs hoje</t>
        </is>
      </c>
      <c r="B27" s="8" t="inlineStr">
        <is>
          <t>-</t>
        </is>
      </c>
      <c r="C27" s="17">
        <f>$B$26-C26</f>
        <v/>
      </c>
      <c r="D27" s="17">
        <f>$B$26-D26</f>
        <v/>
      </c>
      <c r="E27" s="17">
        <f>$B$26-E26</f>
        <v/>
      </c>
    </row>
    <row r="28">
      <c r="A28" s="8" t="inlineStr">
        <is>
          <t>Economia liquida do aluno</t>
        </is>
      </c>
      <c r="B28" s="8" t="inlineStr">
        <is>
          <t>-</t>
        </is>
      </c>
      <c r="C28" s="17">
        <f>C27-$C$13</f>
        <v/>
      </c>
      <c r="D28" s="17">
        <f>D27-$C$13</f>
        <v/>
      </c>
      <c r="E28" s="17">
        <f>E27-$C$13</f>
        <v/>
      </c>
    </row>
    <row r="29">
      <c r="A29" s="8" t="inlineStr">
        <is>
          <t>Retorno sobre a taxa</t>
        </is>
      </c>
      <c r="B29" s="8" t="inlineStr">
        <is>
          <t>-</t>
        </is>
      </c>
      <c r="C29" s="18">
        <f>C28/$C$13</f>
        <v/>
      </c>
      <c r="D29" s="18">
        <f>D28/$C$13</f>
        <v/>
      </c>
      <c r="E29" s="18">
        <f>E28/$C$13</f>
        <v/>
      </c>
    </row>
    <row r="30">
      <c r="A30" s="8" t="inlineStr">
        <is>
          <t>Comissao por viagem</t>
        </is>
      </c>
      <c r="B30" s="8" t="inlineStr">
        <is>
          <t>-</t>
        </is>
      </c>
      <c r="C30" s="19">
        <f>C26*C22</f>
        <v/>
      </c>
      <c r="D30" s="19">
        <f>D26*D22</f>
        <v/>
      </c>
      <c r="E30" s="19">
        <f>E26*E22</f>
        <v/>
      </c>
    </row>
    <row r="31">
      <c r="A31" s="8" t="inlineStr">
        <is>
          <t>Receita por viagem</t>
        </is>
      </c>
      <c r="B31" s="8" t="inlineStr">
        <is>
          <t>-</t>
        </is>
      </c>
      <c r="C31" s="19">
        <f>$C$13+C30</f>
        <v/>
      </c>
      <c r="D31" s="19">
        <f>$C$13+D30</f>
        <v/>
      </c>
      <c r="E31" s="19">
        <f>$C$13+E30</f>
        <v/>
      </c>
    </row>
    <row r="32">
      <c r="A32" s="8" t="inlineStr">
        <is>
          <t>Viagens por aderente/trimestre</t>
        </is>
      </c>
      <c r="B32" s="8" t="inlineStr">
        <is>
          <t>-</t>
        </is>
      </c>
      <c r="C32" s="20">
        <f>$C$10/$C$11*3</f>
        <v/>
      </c>
      <c r="D32" s="20">
        <f>$C$10/$C$11*3</f>
        <v/>
      </c>
      <c r="E32" s="20">
        <f>$C$10/$C$11*3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0" customWidth="1" min="3" max="3"/>
    <col width="12" customWidth="1" min="4" max="4"/>
    <col width="10" customWidth="1" min="5" max="5"/>
    <col width="14" customWidth="1" min="6" max="6"/>
    <col width="14" customWidth="1" min="7" max="7"/>
    <col width="20" customWidth="1" min="8" max="8"/>
  </cols>
  <sheetData>
    <row r="1">
      <c r="A1" s="1" t="inlineStr">
        <is>
          <t>Cenarios de receita - 12 trimestres, 3 fases de poder de negociacao</t>
        </is>
      </c>
    </row>
    <row r="2">
      <c r="A2" s="2" t="inlineStr">
        <is>
          <t>O cenario tendencial herda a adesao das Premissas. Pessimista e otimista tem adesao propria por fase.</t>
        </is>
      </c>
    </row>
    <row r="4">
      <c r="A4" s="7" t="inlineStr">
        <is>
          <t>Pessimista</t>
        </is>
      </c>
    </row>
    <row r="5">
      <c r="A5" s="3" t="inlineStr">
        <is>
          <t>Adesao por fase</t>
        </is>
      </c>
      <c r="B5" s="3" t="inlineStr">
        <is>
          <t>Ano 1</t>
        </is>
      </c>
      <c r="C5" s="3" t="inlineStr">
        <is>
          <t>Ano 2</t>
        </is>
      </c>
      <c r="D5" s="3" t="inlineStr">
        <is>
          <t>Ano 3</t>
        </is>
      </c>
    </row>
    <row r="6">
      <c r="A6" s="8" t="inlineStr">
        <is>
          <t>Adesao</t>
        </is>
      </c>
      <c r="B6" s="15" t="n">
        <v>0.2</v>
      </c>
      <c r="C6" s="15" t="n">
        <v>0.3</v>
      </c>
      <c r="D6" s="15" t="n">
        <v>0.4</v>
      </c>
    </row>
    <row r="8">
      <c r="A8" s="3" t="inlineStr">
        <is>
          <t>Trim.</t>
        </is>
      </c>
      <c r="B8" s="3" t="inlineStr">
        <is>
          <t>Fase</t>
        </is>
      </c>
      <c r="C8" s="3" t="inlineStr">
        <is>
          <t>Turmas</t>
        </is>
      </c>
      <c r="D8" s="3" t="inlineStr">
        <is>
          <t>Aderentes</t>
        </is>
      </c>
      <c r="E8" s="3" t="inlineStr">
        <is>
          <t>Viagens</t>
        </is>
      </c>
      <c r="F8" s="3" t="inlineStr">
        <is>
          <t>Receita (R$)</t>
        </is>
      </c>
      <c r="G8" s="3" t="inlineStr">
        <is>
          <t>GMV (R$)</t>
        </is>
      </c>
      <c r="H8" s="3" t="inlineStr">
        <is>
          <t>Economia alunos (R$)</t>
        </is>
      </c>
    </row>
    <row r="9">
      <c r="A9" s="4" t="inlineStr">
        <is>
          <t>T1</t>
        </is>
      </c>
      <c r="B9" s="8" t="n">
        <v>1</v>
      </c>
      <c r="C9" s="21" t="n">
        <v>0</v>
      </c>
      <c r="D9" s="5">
        <f>C9*Premissas!$C$9*$B$6</f>
        <v/>
      </c>
      <c r="E9" s="5">
        <f>D9*Premissas!$C$32</f>
        <v/>
      </c>
      <c r="F9" s="5">
        <f>E9*Premissas!$C$31</f>
        <v/>
      </c>
      <c r="G9" s="5">
        <f>E9*Premissas!$C$26</f>
        <v/>
      </c>
      <c r="H9" s="5">
        <f>E9*Premissas!$C$28</f>
        <v/>
      </c>
    </row>
    <row r="10">
      <c r="A10" s="4" t="inlineStr">
        <is>
          <t>T2</t>
        </is>
      </c>
      <c r="B10" s="8" t="n">
        <v>1</v>
      </c>
      <c r="C10" s="21" t="n">
        <v>1</v>
      </c>
      <c r="D10" s="5">
        <f>C10*Premissas!$C$9*$B$6</f>
        <v/>
      </c>
      <c r="E10" s="5">
        <f>D10*Premissas!$C$32</f>
        <v/>
      </c>
      <c r="F10" s="5">
        <f>E10*Premissas!$C$31</f>
        <v/>
      </c>
      <c r="G10" s="5">
        <f>E10*Premissas!$C$26</f>
        <v/>
      </c>
      <c r="H10" s="5">
        <f>E10*Premissas!$C$28</f>
        <v/>
      </c>
    </row>
    <row r="11">
      <c r="A11" s="4" t="inlineStr">
        <is>
          <t>T3</t>
        </is>
      </c>
      <c r="B11" s="8" t="n">
        <v>1</v>
      </c>
      <c r="C11" s="21" t="n">
        <v>1</v>
      </c>
      <c r="D11" s="5">
        <f>C11*Premissas!$C$9*$B$6</f>
        <v/>
      </c>
      <c r="E11" s="5">
        <f>D11*Premissas!$C$32</f>
        <v/>
      </c>
      <c r="F11" s="5">
        <f>E11*Premissas!$C$31</f>
        <v/>
      </c>
      <c r="G11" s="5">
        <f>E11*Premissas!$C$26</f>
        <v/>
      </c>
      <c r="H11" s="5">
        <f>E11*Premissas!$C$28</f>
        <v/>
      </c>
    </row>
    <row r="12">
      <c r="A12" s="4" t="inlineStr">
        <is>
          <t>T4</t>
        </is>
      </c>
      <c r="B12" s="8" t="n">
        <v>1</v>
      </c>
      <c r="C12" s="21" t="n">
        <v>2</v>
      </c>
      <c r="D12" s="5">
        <f>C12*Premissas!$C$9*$B$6</f>
        <v/>
      </c>
      <c r="E12" s="5">
        <f>D12*Premissas!$C$32</f>
        <v/>
      </c>
      <c r="F12" s="5">
        <f>E12*Premissas!$C$31</f>
        <v/>
      </c>
      <c r="G12" s="5">
        <f>E12*Premissas!$C$26</f>
        <v/>
      </c>
      <c r="H12" s="5">
        <f>E12*Premissas!$C$28</f>
        <v/>
      </c>
    </row>
    <row r="13">
      <c r="A13" s="4" t="inlineStr">
        <is>
          <t>T5</t>
        </is>
      </c>
      <c r="B13" s="8" t="n">
        <v>2</v>
      </c>
      <c r="C13" s="21" t="n">
        <v>3</v>
      </c>
      <c r="D13" s="5">
        <f>C13*Premissas!$C$9*$C$6</f>
        <v/>
      </c>
      <c r="E13" s="5">
        <f>D13*Premissas!$D$32</f>
        <v/>
      </c>
      <c r="F13" s="5">
        <f>E13*Premissas!$D$31</f>
        <v/>
      </c>
      <c r="G13" s="5">
        <f>E13*Premissas!$D$26</f>
        <v/>
      </c>
      <c r="H13" s="5">
        <f>E13*Premissas!$D$28</f>
        <v/>
      </c>
    </row>
    <row r="14">
      <c r="A14" s="4" t="inlineStr">
        <is>
          <t>T6</t>
        </is>
      </c>
      <c r="B14" s="8" t="n">
        <v>2</v>
      </c>
      <c r="C14" s="21" t="n">
        <v>4</v>
      </c>
      <c r="D14" s="5">
        <f>C14*Premissas!$C$9*$C$6</f>
        <v/>
      </c>
      <c r="E14" s="5">
        <f>D14*Premissas!$D$32</f>
        <v/>
      </c>
      <c r="F14" s="5">
        <f>E14*Premissas!$D$31</f>
        <v/>
      </c>
      <c r="G14" s="5">
        <f>E14*Premissas!$D$26</f>
        <v/>
      </c>
      <c r="H14" s="5">
        <f>E14*Premissas!$D$28</f>
        <v/>
      </c>
    </row>
    <row r="15">
      <c r="A15" s="4" t="inlineStr">
        <is>
          <t>T7</t>
        </is>
      </c>
      <c r="B15" s="8" t="n">
        <v>2</v>
      </c>
      <c r="C15" s="21" t="n">
        <v>5</v>
      </c>
      <c r="D15" s="5">
        <f>C15*Premissas!$C$9*$C$6</f>
        <v/>
      </c>
      <c r="E15" s="5">
        <f>D15*Premissas!$D$32</f>
        <v/>
      </c>
      <c r="F15" s="5">
        <f>E15*Premissas!$D$31</f>
        <v/>
      </c>
      <c r="G15" s="5">
        <f>E15*Premissas!$D$26</f>
        <v/>
      </c>
      <c r="H15" s="5">
        <f>E15*Premissas!$D$28</f>
        <v/>
      </c>
    </row>
    <row r="16">
      <c r="A16" s="4" t="inlineStr">
        <is>
          <t>T8</t>
        </is>
      </c>
      <c r="B16" s="8" t="n">
        <v>2</v>
      </c>
      <c r="C16" s="21" t="n">
        <v>6</v>
      </c>
      <c r="D16" s="5">
        <f>C16*Premissas!$C$9*$C$6</f>
        <v/>
      </c>
      <c r="E16" s="5">
        <f>D16*Premissas!$D$32</f>
        <v/>
      </c>
      <c r="F16" s="5">
        <f>E16*Premissas!$D$31</f>
        <v/>
      </c>
      <c r="G16" s="5">
        <f>E16*Premissas!$D$26</f>
        <v/>
      </c>
      <c r="H16" s="5">
        <f>E16*Premissas!$D$28</f>
        <v/>
      </c>
    </row>
    <row r="17">
      <c r="A17" s="4" t="inlineStr">
        <is>
          <t>T9</t>
        </is>
      </c>
      <c r="B17" s="8" t="n">
        <v>3</v>
      </c>
      <c r="C17" s="21" t="n">
        <v>8</v>
      </c>
      <c r="D17" s="5">
        <f>C17*Premissas!$C$9*$D$6</f>
        <v/>
      </c>
      <c r="E17" s="5">
        <f>D17*Premissas!$E$32</f>
        <v/>
      </c>
      <c r="F17" s="5">
        <f>E17*Premissas!$E$31</f>
        <v/>
      </c>
      <c r="G17" s="5">
        <f>E17*Premissas!$E$26</f>
        <v/>
      </c>
      <c r="H17" s="5">
        <f>E17*Premissas!$E$28</f>
        <v/>
      </c>
    </row>
    <row r="18">
      <c r="A18" s="4" t="inlineStr">
        <is>
          <t>T10</t>
        </is>
      </c>
      <c r="B18" s="8" t="n">
        <v>3</v>
      </c>
      <c r="C18" s="21" t="n">
        <v>10</v>
      </c>
      <c r="D18" s="5">
        <f>C18*Premissas!$C$9*$D$6</f>
        <v/>
      </c>
      <c r="E18" s="5">
        <f>D18*Premissas!$E$32</f>
        <v/>
      </c>
      <c r="F18" s="5">
        <f>E18*Premissas!$E$31</f>
        <v/>
      </c>
      <c r="G18" s="5">
        <f>E18*Premissas!$E$26</f>
        <v/>
      </c>
      <c r="H18" s="5">
        <f>E18*Premissas!$E$28</f>
        <v/>
      </c>
    </row>
    <row r="19">
      <c r="A19" s="4" t="inlineStr">
        <is>
          <t>T11</t>
        </is>
      </c>
      <c r="B19" s="8" t="n">
        <v>3</v>
      </c>
      <c r="C19" s="21" t="n">
        <v>12</v>
      </c>
      <c r="D19" s="5">
        <f>C19*Premissas!$C$9*$D$6</f>
        <v/>
      </c>
      <c r="E19" s="5">
        <f>D19*Premissas!$E$32</f>
        <v/>
      </c>
      <c r="F19" s="5">
        <f>E19*Premissas!$E$31</f>
        <v/>
      </c>
      <c r="G19" s="5">
        <f>E19*Premissas!$E$26</f>
        <v/>
      </c>
      <c r="H19" s="5">
        <f>E19*Premissas!$E$28</f>
        <v/>
      </c>
    </row>
    <row r="20">
      <c r="A20" s="4" t="inlineStr">
        <is>
          <t>T12</t>
        </is>
      </c>
      <c r="B20" s="8" t="n">
        <v>3</v>
      </c>
      <c r="C20" s="21" t="n">
        <v>14</v>
      </c>
      <c r="D20" s="5">
        <f>C20*Premissas!$C$9*$D$6</f>
        <v/>
      </c>
      <c r="E20" s="5">
        <f>D20*Premissas!$E$32</f>
        <v/>
      </c>
      <c r="F20" s="5">
        <f>E20*Premissas!$E$31</f>
        <v/>
      </c>
      <c r="G20" s="5">
        <f>E20*Premissas!$E$26</f>
        <v/>
      </c>
      <c r="H20" s="5">
        <f>E20*Premissas!$E$28</f>
        <v/>
      </c>
    </row>
    <row r="21">
      <c r="A21" s="22" t="inlineStr">
        <is>
          <t>Total</t>
        </is>
      </c>
      <c r="B21" s="23" t="inlineStr"/>
      <c r="C21" s="24">
        <f>SUM(C9:C20)</f>
        <v/>
      </c>
      <c r="D21" s="24">
        <f>SUM(D9:D20)</f>
        <v/>
      </c>
      <c r="E21" s="24">
        <f>SUM(E9:E20)</f>
        <v/>
      </c>
      <c r="F21" s="24">
        <f>SUM(F9:F20)</f>
        <v/>
      </c>
      <c r="G21" s="24">
        <f>SUM(G9:G20)</f>
        <v/>
      </c>
      <c r="H21" s="24">
        <f>SUM(H9:H20)</f>
        <v/>
      </c>
    </row>
    <row r="22">
      <c r="A22" s="4" t="inlineStr">
        <is>
          <t>Ano 1</t>
        </is>
      </c>
      <c r="F22" s="17">
        <f>SUM(F9:F12)</f>
        <v/>
      </c>
    </row>
    <row r="23">
      <c r="A23" s="4" t="inlineStr">
        <is>
          <t>Ano 2</t>
        </is>
      </c>
      <c r="F23" s="17">
        <f>SUM(F13:F16)</f>
        <v/>
      </c>
    </row>
    <row r="24">
      <c r="A24" s="4" t="inlineStr">
        <is>
          <t>Ano 3</t>
        </is>
      </c>
      <c r="F24" s="17">
        <f>SUM(F17:F20)</f>
        <v/>
      </c>
    </row>
    <row r="26">
      <c r="A26" s="7" t="inlineStr">
        <is>
          <t>Tendencial</t>
        </is>
      </c>
    </row>
    <row r="27">
      <c r="A27" s="3" t="inlineStr">
        <is>
          <t>Adesao por fase</t>
        </is>
      </c>
      <c r="B27" s="3" t="inlineStr">
        <is>
          <t>Ano 1</t>
        </is>
      </c>
      <c r="C27" s="3" t="inlineStr">
        <is>
          <t>Ano 2</t>
        </is>
      </c>
      <c r="D27" s="3" t="inlineStr">
        <is>
          <t>Ano 3</t>
        </is>
      </c>
    </row>
    <row r="28">
      <c r="A28" s="8" t="inlineStr">
        <is>
          <t>Adesao</t>
        </is>
      </c>
      <c r="B28" s="25">
        <f>Premissas!C21</f>
        <v/>
      </c>
      <c r="C28" s="25">
        <f>Premissas!D21</f>
        <v/>
      </c>
      <c r="D28" s="25">
        <f>Premissas!E21</f>
        <v/>
      </c>
    </row>
    <row r="30">
      <c r="A30" s="3" t="inlineStr">
        <is>
          <t>Trim.</t>
        </is>
      </c>
      <c r="B30" s="3" t="inlineStr">
        <is>
          <t>Fase</t>
        </is>
      </c>
      <c r="C30" s="3" t="inlineStr">
        <is>
          <t>Turmas</t>
        </is>
      </c>
      <c r="D30" s="3" t="inlineStr">
        <is>
          <t>Aderentes</t>
        </is>
      </c>
      <c r="E30" s="3" t="inlineStr">
        <is>
          <t>Viagens</t>
        </is>
      </c>
      <c r="F30" s="3" t="inlineStr">
        <is>
          <t>Receita (R$)</t>
        </is>
      </c>
      <c r="G30" s="3" t="inlineStr">
        <is>
          <t>GMV (R$)</t>
        </is>
      </c>
      <c r="H30" s="3" t="inlineStr">
        <is>
          <t>Economia alunos (R$)</t>
        </is>
      </c>
    </row>
    <row r="31">
      <c r="A31" s="4" t="inlineStr">
        <is>
          <t>T1</t>
        </is>
      </c>
      <c r="B31" s="8" t="n">
        <v>1</v>
      </c>
      <c r="C31" s="21" t="n">
        <v>1</v>
      </c>
      <c r="D31" s="5">
        <f>C31*Premissas!$C$9*$B$28</f>
        <v/>
      </c>
      <c r="E31" s="5">
        <f>D31*Premissas!$C$32</f>
        <v/>
      </c>
      <c r="F31" s="5">
        <f>E31*Premissas!$C$31</f>
        <v/>
      </c>
      <c r="G31" s="5">
        <f>E31*Premissas!$C$26</f>
        <v/>
      </c>
      <c r="H31" s="5">
        <f>E31*Premissas!$C$28</f>
        <v/>
      </c>
    </row>
    <row r="32">
      <c r="A32" s="4" t="inlineStr">
        <is>
          <t>T2</t>
        </is>
      </c>
      <c r="B32" s="8" t="n">
        <v>1</v>
      </c>
      <c r="C32" s="21" t="n">
        <v>2</v>
      </c>
      <c r="D32" s="5">
        <f>C32*Premissas!$C$9*$B$28</f>
        <v/>
      </c>
      <c r="E32" s="5">
        <f>D32*Premissas!$C$32</f>
        <v/>
      </c>
      <c r="F32" s="5">
        <f>E32*Premissas!$C$31</f>
        <v/>
      </c>
      <c r="G32" s="5">
        <f>E32*Premissas!$C$26</f>
        <v/>
      </c>
      <c r="H32" s="5">
        <f>E32*Premissas!$C$28</f>
        <v/>
      </c>
    </row>
    <row r="33">
      <c r="A33" s="4" t="inlineStr">
        <is>
          <t>T3</t>
        </is>
      </c>
      <c r="B33" s="8" t="n">
        <v>1</v>
      </c>
      <c r="C33" s="21" t="n">
        <v>3</v>
      </c>
      <c r="D33" s="5">
        <f>C33*Premissas!$C$9*$B$28</f>
        <v/>
      </c>
      <c r="E33" s="5">
        <f>D33*Premissas!$C$32</f>
        <v/>
      </c>
      <c r="F33" s="5">
        <f>E33*Premissas!$C$31</f>
        <v/>
      </c>
      <c r="G33" s="5">
        <f>E33*Premissas!$C$26</f>
        <v/>
      </c>
      <c r="H33" s="5">
        <f>E33*Premissas!$C$28</f>
        <v/>
      </c>
    </row>
    <row r="34">
      <c r="A34" s="4" t="inlineStr">
        <is>
          <t>T4</t>
        </is>
      </c>
      <c r="B34" s="8" t="n">
        <v>1</v>
      </c>
      <c r="C34" s="21" t="n">
        <v>4</v>
      </c>
      <c r="D34" s="5">
        <f>C34*Premissas!$C$9*$B$28</f>
        <v/>
      </c>
      <c r="E34" s="5">
        <f>D34*Premissas!$C$32</f>
        <v/>
      </c>
      <c r="F34" s="5">
        <f>E34*Premissas!$C$31</f>
        <v/>
      </c>
      <c r="G34" s="5">
        <f>E34*Premissas!$C$26</f>
        <v/>
      </c>
      <c r="H34" s="5">
        <f>E34*Premissas!$C$28</f>
        <v/>
      </c>
    </row>
    <row r="35">
      <c r="A35" s="4" t="inlineStr">
        <is>
          <t>T5</t>
        </is>
      </c>
      <c r="B35" s="8" t="n">
        <v>2</v>
      </c>
      <c r="C35" s="21" t="n">
        <v>6</v>
      </c>
      <c r="D35" s="5">
        <f>C35*Premissas!$C$9*$C$28</f>
        <v/>
      </c>
      <c r="E35" s="5">
        <f>D35*Premissas!$D$32</f>
        <v/>
      </c>
      <c r="F35" s="5">
        <f>E35*Premissas!$D$31</f>
        <v/>
      </c>
      <c r="G35" s="5">
        <f>E35*Premissas!$D$26</f>
        <v/>
      </c>
      <c r="H35" s="5">
        <f>E35*Premissas!$D$28</f>
        <v/>
      </c>
    </row>
    <row r="36">
      <c r="A36" s="4" t="inlineStr">
        <is>
          <t>T6</t>
        </is>
      </c>
      <c r="B36" s="8" t="n">
        <v>2</v>
      </c>
      <c r="C36" s="21" t="n">
        <v>8</v>
      </c>
      <c r="D36" s="5">
        <f>C36*Premissas!$C$9*$C$28</f>
        <v/>
      </c>
      <c r="E36" s="5">
        <f>D36*Premissas!$D$32</f>
        <v/>
      </c>
      <c r="F36" s="5">
        <f>E36*Premissas!$D$31</f>
        <v/>
      </c>
      <c r="G36" s="5">
        <f>E36*Premissas!$D$26</f>
        <v/>
      </c>
      <c r="H36" s="5">
        <f>E36*Premissas!$D$28</f>
        <v/>
      </c>
    </row>
    <row r="37">
      <c r="A37" s="4" t="inlineStr">
        <is>
          <t>T7</t>
        </is>
      </c>
      <c r="B37" s="8" t="n">
        <v>2</v>
      </c>
      <c r="C37" s="21" t="n">
        <v>10</v>
      </c>
      <c r="D37" s="5">
        <f>C37*Premissas!$C$9*$C$28</f>
        <v/>
      </c>
      <c r="E37" s="5">
        <f>D37*Premissas!$D$32</f>
        <v/>
      </c>
      <c r="F37" s="5">
        <f>E37*Premissas!$D$31</f>
        <v/>
      </c>
      <c r="G37" s="5">
        <f>E37*Premissas!$D$26</f>
        <v/>
      </c>
      <c r="H37" s="5">
        <f>E37*Premissas!$D$28</f>
        <v/>
      </c>
    </row>
    <row r="38">
      <c r="A38" s="4" t="inlineStr">
        <is>
          <t>T8</t>
        </is>
      </c>
      <c r="B38" s="8" t="n">
        <v>2</v>
      </c>
      <c r="C38" s="21" t="n">
        <v>12</v>
      </c>
      <c r="D38" s="5">
        <f>C38*Premissas!$C$9*$C$28</f>
        <v/>
      </c>
      <c r="E38" s="5">
        <f>D38*Premissas!$D$32</f>
        <v/>
      </c>
      <c r="F38" s="5">
        <f>E38*Premissas!$D$31</f>
        <v/>
      </c>
      <c r="G38" s="5">
        <f>E38*Premissas!$D$26</f>
        <v/>
      </c>
      <c r="H38" s="5">
        <f>E38*Premissas!$D$28</f>
        <v/>
      </c>
    </row>
    <row r="39">
      <c r="A39" s="4" t="inlineStr">
        <is>
          <t>T9</t>
        </is>
      </c>
      <c r="B39" s="8" t="n">
        <v>3</v>
      </c>
      <c r="C39" s="21" t="n">
        <v>15</v>
      </c>
      <c r="D39" s="5">
        <f>C39*Premissas!$C$9*$D$28</f>
        <v/>
      </c>
      <c r="E39" s="5">
        <f>D39*Premissas!$E$32</f>
        <v/>
      </c>
      <c r="F39" s="5">
        <f>E39*Premissas!$E$31</f>
        <v/>
      </c>
      <c r="G39" s="5">
        <f>E39*Premissas!$E$26</f>
        <v/>
      </c>
      <c r="H39" s="5">
        <f>E39*Premissas!$E$28</f>
        <v/>
      </c>
    </row>
    <row r="40">
      <c r="A40" s="4" t="inlineStr">
        <is>
          <t>T10</t>
        </is>
      </c>
      <c r="B40" s="8" t="n">
        <v>3</v>
      </c>
      <c r="C40" s="21" t="n">
        <v>18</v>
      </c>
      <c r="D40" s="5">
        <f>C40*Premissas!$C$9*$D$28</f>
        <v/>
      </c>
      <c r="E40" s="5">
        <f>D40*Premissas!$E$32</f>
        <v/>
      </c>
      <c r="F40" s="5">
        <f>E40*Premissas!$E$31</f>
        <v/>
      </c>
      <c r="G40" s="5">
        <f>E40*Premissas!$E$26</f>
        <v/>
      </c>
      <c r="H40" s="5">
        <f>E40*Premissas!$E$28</f>
        <v/>
      </c>
    </row>
    <row r="41">
      <c r="A41" s="4" t="inlineStr">
        <is>
          <t>T11</t>
        </is>
      </c>
      <c r="B41" s="8" t="n">
        <v>3</v>
      </c>
      <c r="C41" s="21" t="n">
        <v>21</v>
      </c>
      <c r="D41" s="5">
        <f>C41*Premissas!$C$9*$D$28</f>
        <v/>
      </c>
      <c r="E41" s="5">
        <f>D41*Premissas!$E$32</f>
        <v/>
      </c>
      <c r="F41" s="5">
        <f>E41*Premissas!$E$31</f>
        <v/>
      </c>
      <c r="G41" s="5">
        <f>E41*Premissas!$E$26</f>
        <v/>
      </c>
      <c r="H41" s="5">
        <f>E41*Premissas!$E$28</f>
        <v/>
      </c>
    </row>
    <row r="42">
      <c r="A42" s="4" t="inlineStr">
        <is>
          <t>T12</t>
        </is>
      </c>
      <c r="B42" s="8" t="n">
        <v>3</v>
      </c>
      <c r="C42" s="21" t="n">
        <v>24</v>
      </c>
      <c r="D42" s="5">
        <f>C42*Premissas!$C$9*$D$28</f>
        <v/>
      </c>
      <c r="E42" s="5">
        <f>D42*Premissas!$E$32</f>
        <v/>
      </c>
      <c r="F42" s="5">
        <f>E42*Premissas!$E$31</f>
        <v/>
      </c>
      <c r="G42" s="5">
        <f>E42*Premissas!$E$26</f>
        <v/>
      </c>
      <c r="H42" s="5">
        <f>E42*Premissas!$E$28</f>
        <v/>
      </c>
    </row>
    <row r="43">
      <c r="A43" s="22" t="inlineStr">
        <is>
          <t>Total</t>
        </is>
      </c>
      <c r="B43" s="23" t="inlineStr"/>
      <c r="C43" s="24">
        <f>SUM(C31:C42)</f>
        <v/>
      </c>
      <c r="D43" s="24">
        <f>SUM(D31:D42)</f>
        <v/>
      </c>
      <c r="E43" s="24">
        <f>SUM(E31:E42)</f>
        <v/>
      </c>
      <c r="F43" s="24">
        <f>SUM(F31:F42)</f>
        <v/>
      </c>
      <c r="G43" s="24">
        <f>SUM(G31:G42)</f>
        <v/>
      </c>
      <c r="H43" s="24">
        <f>SUM(H31:H42)</f>
        <v/>
      </c>
    </row>
    <row r="44">
      <c r="A44" s="4" t="inlineStr">
        <is>
          <t>Ano 1</t>
        </is>
      </c>
      <c r="F44" s="17">
        <f>SUM(F31:F34)</f>
        <v/>
      </c>
    </row>
    <row r="45">
      <c r="A45" s="4" t="inlineStr">
        <is>
          <t>Ano 2</t>
        </is>
      </c>
      <c r="F45" s="17">
        <f>SUM(F35:F38)</f>
        <v/>
      </c>
    </row>
    <row r="46">
      <c r="A46" s="4" t="inlineStr">
        <is>
          <t>Ano 3</t>
        </is>
      </c>
      <c r="F46" s="17">
        <f>SUM(F39:F42)</f>
        <v/>
      </c>
    </row>
    <row r="48">
      <c r="A48" s="7" t="inlineStr">
        <is>
          <t>Otimista</t>
        </is>
      </c>
    </row>
    <row r="49">
      <c r="A49" s="3" t="inlineStr">
        <is>
          <t>Adesao por fase</t>
        </is>
      </c>
      <c r="B49" s="3" t="inlineStr">
        <is>
          <t>Ano 1</t>
        </is>
      </c>
      <c r="C49" s="3" t="inlineStr">
        <is>
          <t>Ano 2</t>
        </is>
      </c>
      <c r="D49" s="3" t="inlineStr">
        <is>
          <t>Ano 3</t>
        </is>
      </c>
    </row>
    <row r="50">
      <c r="A50" s="8" t="inlineStr">
        <is>
          <t>Adesao</t>
        </is>
      </c>
      <c r="B50" s="15" t="n">
        <v>0.4</v>
      </c>
      <c r="C50" s="15" t="n">
        <v>0.55</v>
      </c>
      <c r="D50" s="15" t="n">
        <v>0.7</v>
      </c>
    </row>
    <row r="52">
      <c r="A52" s="3" t="inlineStr">
        <is>
          <t>Trim.</t>
        </is>
      </c>
      <c r="B52" s="3" t="inlineStr">
        <is>
          <t>Fase</t>
        </is>
      </c>
      <c r="C52" s="3" t="inlineStr">
        <is>
          <t>Turmas</t>
        </is>
      </c>
      <c r="D52" s="3" t="inlineStr">
        <is>
          <t>Aderentes</t>
        </is>
      </c>
      <c r="E52" s="3" t="inlineStr">
        <is>
          <t>Viagens</t>
        </is>
      </c>
      <c r="F52" s="3" t="inlineStr">
        <is>
          <t>Receita (R$)</t>
        </is>
      </c>
      <c r="G52" s="3" t="inlineStr">
        <is>
          <t>GMV (R$)</t>
        </is>
      </c>
      <c r="H52" s="3" t="inlineStr">
        <is>
          <t>Economia alunos (R$)</t>
        </is>
      </c>
    </row>
    <row r="53">
      <c r="A53" s="4" t="inlineStr">
        <is>
          <t>T1</t>
        </is>
      </c>
      <c r="B53" s="8" t="n">
        <v>1</v>
      </c>
      <c r="C53" s="21" t="n">
        <v>1</v>
      </c>
      <c r="D53" s="5">
        <f>C53*Premissas!$C$9*$B$50</f>
        <v/>
      </c>
      <c r="E53" s="5">
        <f>D53*Premissas!$C$32</f>
        <v/>
      </c>
      <c r="F53" s="5">
        <f>E53*Premissas!$C$31</f>
        <v/>
      </c>
      <c r="G53" s="5">
        <f>E53*Premissas!$C$26</f>
        <v/>
      </c>
      <c r="H53" s="5">
        <f>E53*Premissas!$C$28</f>
        <v/>
      </c>
    </row>
    <row r="54">
      <c r="A54" s="4" t="inlineStr">
        <is>
          <t>T2</t>
        </is>
      </c>
      <c r="B54" s="8" t="n">
        <v>1</v>
      </c>
      <c r="C54" s="21" t="n">
        <v>3</v>
      </c>
      <c r="D54" s="5">
        <f>C54*Premissas!$C$9*$B$50</f>
        <v/>
      </c>
      <c r="E54" s="5">
        <f>D54*Premissas!$C$32</f>
        <v/>
      </c>
      <c r="F54" s="5">
        <f>E54*Premissas!$C$31</f>
        <v/>
      </c>
      <c r="G54" s="5">
        <f>E54*Premissas!$C$26</f>
        <v/>
      </c>
      <c r="H54" s="5">
        <f>E54*Premissas!$C$28</f>
        <v/>
      </c>
    </row>
    <row r="55">
      <c r="A55" s="4" t="inlineStr">
        <is>
          <t>T3</t>
        </is>
      </c>
      <c r="B55" s="8" t="n">
        <v>1</v>
      </c>
      <c r="C55" s="21" t="n">
        <v>5</v>
      </c>
      <c r="D55" s="5">
        <f>C55*Premissas!$C$9*$B$50</f>
        <v/>
      </c>
      <c r="E55" s="5">
        <f>D55*Premissas!$C$32</f>
        <v/>
      </c>
      <c r="F55" s="5">
        <f>E55*Premissas!$C$31</f>
        <v/>
      </c>
      <c r="G55" s="5">
        <f>E55*Premissas!$C$26</f>
        <v/>
      </c>
      <c r="H55" s="5">
        <f>E55*Premissas!$C$28</f>
        <v/>
      </c>
    </row>
    <row r="56">
      <c r="A56" s="4" t="inlineStr">
        <is>
          <t>T4</t>
        </is>
      </c>
      <c r="B56" s="8" t="n">
        <v>1</v>
      </c>
      <c r="C56" s="21" t="n">
        <v>7</v>
      </c>
      <c r="D56" s="5">
        <f>C56*Premissas!$C$9*$B$50</f>
        <v/>
      </c>
      <c r="E56" s="5">
        <f>D56*Premissas!$C$32</f>
        <v/>
      </c>
      <c r="F56" s="5">
        <f>E56*Premissas!$C$31</f>
        <v/>
      </c>
      <c r="G56" s="5">
        <f>E56*Premissas!$C$26</f>
        <v/>
      </c>
      <c r="H56" s="5">
        <f>E56*Premissas!$C$28</f>
        <v/>
      </c>
    </row>
    <row r="57">
      <c r="A57" s="4" t="inlineStr">
        <is>
          <t>T5</t>
        </is>
      </c>
      <c r="B57" s="8" t="n">
        <v>2</v>
      </c>
      <c r="C57" s="21" t="n">
        <v>10</v>
      </c>
      <c r="D57" s="5">
        <f>C57*Premissas!$C$9*$C$50</f>
        <v/>
      </c>
      <c r="E57" s="5">
        <f>D57*Premissas!$D$32</f>
        <v/>
      </c>
      <c r="F57" s="5">
        <f>E57*Premissas!$D$31</f>
        <v/>
      </c>
      <c r="G57" s="5">
        <f>E57*Premissas!$D$26</f>
        <v/>
      </c>
      <c r="H57" s="5">
        <f>E57*Premissas!$D$28</f>
        <v/>
      </c>
    </row>
    <row r="58">
      <c r="A58" s="4" t="inlineStr">
        <is>
          <t>T6</t>
        </is>
      </c>
      <c r="B58" s="8" t="n">
        <v>2</v>
      </c>
      <c r="C58" s="21" t="n">
        <v>14</v>
      </c>
      <c r="D58" s="5">
        <f>C58*Premissas!$C$9*$C$50</f>
        <v/>
      </c>
      <c r="E58" s="5">
        <f>D58*Premissas!$D$32</f>
        <v/>
      </c>
      <c r="F58" s="5">
        <f>E58*Premissas!$D$31</f>
        <v/>
      </c>
      <c r="G58" s="5">
        <f>E58*Premissas!$D$26</f>
        <v/>
      </c>
      <c r="H58" s="5">
        <f>E58*Premissas!$D$28</f>
        <v/>
      </c>
    </row>
    <row r="59">
      <c r="A59" s="4" t="inlineStr">
        <is>
          <t>T7</t>
        </is>
      </c>
      <c r="B59" s="8" t="n">
        <v>2</v>
      </c>
      <c r="C59" s="21" t="n">
        <v>18</v>
      </c>
      <c r="D59" s="5">
        <f>C59*Premissas!$C$9*$C$50</f>
        <v/>
      </c>
      <c r="E59" s="5">
        <f>D59*Premissas!$D$32</f>
        <v/>
      </c>
      <c r="F59" s="5">
        <f>E59*Premissas!$D$31</f>
        <v/>
      </c>
      <c r="G59" s="5">
        <f>E59*Premissas!$D$26</f>
        <v/>
      </c>
      <c r="H59" s="5">
        <f>E59*Premissas!$D$28</f>
        <v/>
      </c>
    </row>
    <row r="60">
      <c r="A60" s="4" t="inlineStr">
        <is>
          <t>T8</t>
        </is>
      </c>
      <c r="B60" s="8" t="n">
        <v>2</v>
      </c>
      <c r="C60" s="21" t="n">
        <v>22</v>
      </c>
      <c r="D60" s="5">
        <f>C60*Premissas!$C$9*$C$50</f>
        <v/>
      </c>
      <c r="E60" s="5">
        <f>D60*Premissas!$D$32</f>
        <v/>
      </c>
      <c r="F60" s="5">
        <f>E60*Premissas!$D$31</f>
        <v/>
      </c>
      <c r="G60" s="5">
        <f>E60*Premissas!$D$26</f>
        <v/>
      </c>
      <c r="H60" s="5">
        <f>E60*Premissas!$D$28</f>
        <v/>
      </c>
    </row>
    <row r="61">
      <c r="A61" s="4" t="inlineStr">
        <is>
          <t>T9</t>
        </is>
      </c>
      <c r="B61" s="8" t="n">
        <v>3</v>
      </c>
      <c r="C61" s="21" t="n">
        <v>27</v>
      </c>
      <c r="D61" s="5">
        <f>C61*Premissas!$C$9*$D$50</f>
        <v/>
      </c>
      <c r="E61" s="5">
        <f>D61*Premissas!$E$32</f>
        <v/>
      </c>
      <c r="F61" s="5">
        <f>E61*Premissas!$E$31</f>
        <v/>
      </c>
      <c r="G61" s="5">
        <f>E61*Premissas!$E$26</f>
        <v/>
      </c>
      <c r="H61" s="5">
        <f>E61*Premissas!$E$28</f>
        <v/>
      </c>
    </row>
    <row r="62">
      <c r="A62" s="4" t="inlineStr">
        <is>
          <t>T10</t>
        </is>
      </c>
      <c r="B62" s="8" t="n">
        <v>3</v>
      </c>
      <c r="C62" s="21" t="n">
        <v>32</v>
      </c>
      <c r="D62" s="5">
        <f>C62*Premissas!$C$9*$D$50</f>
        <v/>
      </c>
      <c r="E62" s="5">
        <f>D62*Premissas!$E$32</f>
        <v/>
      </c>
      <c r="F62" s="5">
        <f>E62*Premissas!$E$31</f>
        <v/>
      </c>
      <c r="G62" s="5">
        <f>E62*Premissas!$E$26</f>
        <v/>
      </c>
      <c r="H62" s="5">
        <f>E62*Premissas!$E$28</f>
        <v/>
      </c>
    </row>
    <row r="63">
      <c r="A63" s="4" t="inlineStr">
        <is>
          <t>T11</t>
        </is>
      </c>
      <c r="B63" s="8" t="n">
        <v>3</v>
      </c>
      <c r="C63" s="21" t="n">
        <v>37</v>
      </c>
      <c r="D63" s="5">
        <f>C63*Premissas!$C$9*$D$50</f>
        <v/>
      </c>
      <c r="E63" s="5">
        <f>D63*Premissas!$E$32</f>
        <v/>
      </c>
      <c r="F63" s="5">
        <f>E63*Premissas!$E$31</f>
        <v/>
      </c>
      <c r="G63" s="5">
        <f>E63*Premissas!$E$26</f>
        <v/>
      </c>
      <c r="H63" s="5">
        <f>E63*Premissas!$E$28</f>
        <v/>
      </c>
    </row>
    <row r="64">
      <c r="A64" s="4" t="inlineStr">
        <is>
          <t>T12</t>
        </is>
      </c>
      <c r="B64" s="8" t="n">
        <v>3</v>
      </c>
      <c r="C64" s="21" t="n">
        <v>42</v>
      </c>
      <c r="D64" s="5">
        <f>C64*Premissas!$C$9*$D$50</f>
        <v/>
      </c>
      <c r="E64" s="5">
        <f>D64*Premissas!$E$32</f>
        <v/>
      </c>
      <c r="F64" s="5">
        <f>E64*Premissas!$E$31</f>
        <v/>
      </c>
      <c r="G64" s="5">
        <f>E64*Premissas!$E$26</f>
        <v/>
      </c>
      <c r="H64" s="5">
        <f>E64*Premissas!$E$28</f>
        <v/>
      </c>
    </row>
    <row r="65">
      <c r="A65" s="22" t="inlineStr">
        <is>
          <t>Total</t>
        </is>
      </c>
      <c r="B65" s="23" t="inlineStr"/>
      <c r="C65" s="24">
        <f>SUM(C53:C64)</f>
        <v/>
      </c>
      <c r="D65" s="24">
        <f>SUM(D53:D64)</f>
        <v/>
      </c>
      <c r="E65" s="24">
        <f>SUM(E53:E64)</f>
        <v/>
      </c>
      <c r="F65" s="24">
        <f>SUM(F53:F64)</f>
        <v/>
      </c>
      <c r="G65" s="24">
        <f>SUM(G53:G64)</f>
        <v/>
      </c>
      <c r="H65" s="24">
        <f>SUM(H53:H64)</f>
        <v/>
      </c>
    </row>
    <row r="66">
      <c r="A66" s="4" t="inlineStr">
        <is>
          <t>Ano 1</t>
        </is>
      </c>
      <c r="F66" s="17">
        <f>SUM(F53:F56)</f>
        <v/>
      </c>
    </row>
    <row r="67">
      <c r="A67" s="4" t="inlineStr">
        <is>
          <t>Ano 2</t>
        </is>
      </c>
      <c r="F67" s="17">
        <f>SUM(F57:F60)</f>
        <v/>
      </c>
    </row>
    <row r="68">
      <c r="A68" s="4" t="inlineStr">
        <is>
          <t>Ano 3</t>
        </is>
      </c>
      <c r="F68" s="17">
        <f>SUM(F61:F64)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14" customWidth="1" min="5" max="5"/>
    <col width="38" customWidth="1" min="6" max="6"/>
  </cols>
  <sheetData>
    <row r="1">
      <c r="A1" s="1" t="inlineStr">
        <is>
          <t>Uma turma isolada forma tarifa de grupo?</t>
        </is>
      </c>
    </row>
    <row r="2">
      <c r="A2" s="2" t="inlineStr">
        <is>
          <t>Pax por rota = turma x adesao / origens. Precisa atingir P21 (10 pax) para haver tarifa de grupo.</t>
        </is>
      </c>
    </row>
    <row r="4">
      <c r="A4" s="3" t="inlineStr">
        <is>
          <t>Turma</t>
        </is>
      </c>
      <c r="B4" s="3" t="inlineStr">
        <is>
          <t>Adesao</t>
        </is>
      </c>
      <c r="C4" s="3" t="inlineStr">
        <is>
          <t>Origens</t>
        </is>
      </c>
      <c r="D4" s="3" t="inlineStr">
        <is>
          <t>Pax por rota</t>
        </is>
      </c>
      <c r="E4" s="3" t="inlineStr">
        <is>
          <t>Forma grupo?</t>
        </is>
      </c>
      <c r="F4" s="3" t="inlineStr">
        <is>
          <t>Turmas necessarias no mesmo campus/data</t>
        </is>
      </c>
    </row>
    <row r="5">
      <c r="A5" s="21" t="n">
        <v>30</v>
      </c>
      <c r="B5" s="26" t="n">
        <v>0.3</v>
      </c>
      <c r="C5" s="21" t="n">
        <v>5</v>
      </c>
      <c r="D5" s="27">
        <f>A5*B5/C5</f>
        <v/>
      </c>
      <c r="E5" s="4">
        <f>IF(D5&gt;=Premissas!$C$14,"SIM","nao")</f>
        <v/>
      </c>
      <c r="F5" s="28">
        <f>ROUNDUP(Premissas!$C$14/D5,0)</f>
        <v/>
      </c>
    </row>
    <row r="6">
      <c r="A6" s="21" t="n">
        <v>30</v>
      </c>
      <c r="B6" s="26" t="n">
        <v>0.3</v>
      </c>
      <c r="C6" s="21" t="n">
        <v>8</v>
      </c>
      <c r="D6" s="27">
        <f>A6*B6/C6</f>
        <v/>
      </c>
      <c r="E6" s="4">
        <f>IF(D6&gt;=Premissas!$C$14,"SIM","nao")</f>
        <v/>
      </c>
      <c r="F6" s="28">
        <f>ROUNDUP(Premissas!$C$14/D6,0)</f>
        <v/>
      </c>
    </row>
    <row r="7">
      <c r="A7" s="21" t="n">
        <v>30</v>
      </c>
      <c r="B7" s="26" t="n">
        <v>0.6</v>
      </c>
      <c r="C7" s="21" t="n">
        <v>5</v>
      </c>
      <c r="D7" s="27">
        <f>A7*B7/C7</f>
        <v/>
      </c>
      <c r="E7" s="4">
        <f>IF(D7&gt;=Premissas!$C$14,"SIM","nao")</f>
        <v/>
      </c>
      <c r="F7" s="28">
        <f>ROUNDUP(Premissas!$C$14/D7,0)</f>
        <v/>
      </c>
    </row>
    <row r="8">
      <c r="A8" s="21" t="n">
        <v>30</v>
      </c>
      <c r="B8" s="26" t="n">
        <v>0.6</v>
      </c>
      <c r="C8" s="21" t="n">
        <v>8</v>
      </c>
      <c r="D8" s="27">
        <f>A8*B8/C8</f>
        <v/>
      </c>
      <c r="E8" s="4">
        <f>IF(D8&gt;=Premissas!$C$14,"SIM","nao")</f>
        <v/>
      </c>
      <c r="F8" s="28">
        <f>ROUNDUP(Premissas!$C$14/D8,0)</f>
        <v/>
      </c>
    </row>
    <row r="9">
      <c r="A9" s="21" t="n">
        <v>40</v>
      </c>
      <c r="B9" s="26" t="n">
        <v>0.3</v>
      </c>
      <c r="C9" s="21" t="n">
        <v>5</v>
      </c>
      <c r="D9" s="27">
        <f>A9*B9/C9</f>
        <v/>
      </c>
      <c r="E9" s="4">
        <f>IF(D9&gt;=Premissas!$C$14,"SIM","nao")</f>
        <v/>
      </c>
      <c r="F9" s="28">
        <f>ROUNDUP(Premissas!$C$14/D9,0)</f>
        <v/>
      </c>
    </row>
    <row r="10">
      <c r="A10" s="21" t="n">
        <v>40</v>
      </c>
      <c r="B10" s="26" t="n">
        <v>0.3</v>
      </c>
      <c r="C10" s="21" t="n">
        <v>8</v>
      </c>
      <c r="D10" s="27">
        <f>A10*B10/C10</f>
        <v/>
      </c>
      <c r="E10" s="4">
        <f>IF(D10&gt;=Premissas!$C$14,"SIM","nao")</f>
        <v/>
      </c>
      <c r="F10" s="28">
        <f>ROUNDUP(Premissas!$C$14/D10,0)</f>
        <v/>
      </c>
    </row>
    <row r="11">
      <c r="A11" s="21" t="n">
        <v>40</v>
      </c>
      <c r="B11" s="26" t="n">
        <v>0.6</v>
      </c>
      <c r="C11" s="21" t="n">
        <v>5</v>
      </c>
      <c r="D11" s="27">
        <f>A11*B11/C11</f>
        <v/>
      </c>
      <c r="E11" s="4">
        <f>IF(D11&gt;=Premissas!$C$14,"SIM","nao")</f>
        <v/>
      </c>
      <c r="F11" s="28">
        <f>ROUNDUP(Premissas!$C$14/D11,0)</f>
        <v/>
      </c>
    </row>
    <row r="12">
      <c r="A12" s="21" t="n">
        <v>40</v>
      </c>
      <c r="B12" s="26" t="n">
        <v>0.6</v>
      </c>
      <c r="C12" s="21" t="n">
        <v>8</v>
      </c>
      <c r="D12" s="27">
        <f>A12*B12/C12</f>
        <v/>
      </c>
      <c r="E12" s="4">
        <f>IF(D12&gt;=Premissas!$C$14,"SIM","nao")</f>
        <v/>
      </c>
      <c r="F12" s="28">
        <f>ROUNDUP(Premissas!$C$14/D12,0)</f>
        <v/>
      </c>
    </row>
    <row r="13">
      <c r="A13" s="21" t="n">
        <v>60</v>
      </c>
      <c r="B13" s="26" t="n">
        <v>0.3</v>
      </c>
      <c r="C13" s="21" t="n">
        <v>5</v>
      </c>
      <c r="D13" s="27">
        <f>A13*B13/C13</f>
        <v/>
      </c>
      <c r="E13" s="4">
        <f>IF(D13&gt;=Premissas!$C$14,"SIM","nao")</f>
        <v/>
      </c>
      <c r="F13" s="28">
        <f>ROUNDUP(Premissas!$C$14/D13,0)</f>
        <v/>
      </c>
    </row>
    <row r="14">
      <c r="A14" s="21" t="n">
        <v>60</v>
      </c>
      <c r="B14" s="26" t="n">
        <v>0.3</v>
      </c>
      <c r="C14" s="21" t="n">
        <v>8</v>
      </c>
      <c r="D14" s="27">
        <f>A14*B14/C14</f>
        <v/>
      </c>
      <c r="E14" s="4">
        <f>IF(D14&gt;=Premissas!$C$14,"SIM","nao")</f>
        <v/>
      </c>
      <c r="F14" s="28">
        <f>ROUNDUP(Premissas!$C$14/D14,0)</f>
        <v/>
      </c>
    </row>
    <row r="15">
      <c r="A15" s="21" t="n">
        <v>60</v>
      </c>
      <c r="B15" s="26" t="n">
        <v>0.6</v>
      </c>
      <c r="C15" s="21" t="n">
        <v>5</v>
      </c>
      <c r="D15" s="27">
        <f>A15*B15/C15</f>
        <v/>
      </c>
      <c r="E15" s="4">
        <f>IF(D15&gt;=Premissas!$C$14,"SIM","nao")</f>
        <v/>
      </c>
      <c r="F15" s="28">
        <f>ROUNDUP(Premissas!$C$14/D15,0)</f>
        <v/>
      </c>
    </row>
    <row r="16">
      <c r="A16" s="21" t="n">
        <v>60</v>
      </c>
      <c r="B16" s="26" t="n">
        <v>0.6</v>
      </c>
      <c r="C16" s="21" t="n">
        <v>8</v>
      </c>
      <c r="D16" s="27">
        <f>A16*B16/C16</f>
        <v/>
      </c>
      <c r="E16" s="4">
        <f>IF(D16&gt;=Premissas!$C$14,"SIM","nao")</f>
        <v/>
      </c>
      <c r="F16" s="28">
        <f>ROUNDUP(Premissas!$C$14/D16,0)</f>
        <v/>
      </c>
    </row>
    <row r="17">
      <c r="A17" s="21" t="n">
        <v>100</v>
      </c>
      <c r="B17" s="26" t="n">
        <v>0.3</v>
      </c>
      <c r="C17" s="21" t="n">
        <v>5</v>
      </c>
      <c r="D17" s="27">
        <f>A17*B17/C17</f>
        <v/>
      </c>
      <c r="E17" s="4">
        <f>IF(D17&gt;=Premissas!$C$14,"SIM","nao")</f>
        <v/>
      </c>
      <c r="F17" s="28">
        <f>ROUNDUP(Premissas!$C$14/D17,0)</f>
        <v/>
      </c>
    </row>
    <row r="18">
      <c r="A18" s="21" t="n">
        <v>100</v>
      </c>
      <c r="B18" s="26" t="n">
        <v>0.3</v>
      </c>
      <c r="C18" s="21" t="n">
        <v>8</v>
      </c>
      <c r="D18" s="27">
        <f>A18*B18/C18</f>
        <v/>
      </c>
      <c r="E18" s="4">
        <f>IF(D18&gt;=Premissas!$C$14,"SIM","nao")</f>
        <v/>
      </c>
      <c r="F18" s="28">
        <f>ROUNDUP(Premissas!$C$14/D18,0)</f>
        <v/>
      </c>
    </row>
    <row r="19">
      <c r="A19" s="21" t="n">
        <v>100</v>
      </c>
      <c r="B19" s="26" t="n">
        <v>0.6</v>
      </c>
      <c r="C19" s="21" t="n">
        <v>5</v>
      </c>
      <c r="D19" s="27">
        <f>A19*B19/C19</f>
        <v/>
      </c>
      <c r="E19" s="4">
        <f>IF(D19&gt;=Premissas!$C$14,"SIM","nao")</f>
        <v/>
      </c>
      <c r="F19" s="28">
        <f>ROUNDUP(Premissas!$C$14/D19,0)</f>
        <v/>
      </c>
    </row>
    <row r="20">
      <c r="A20" s="21" t="n">
        <v>100</v>
      </c>
      <c r="B20" s="26" t="n">
        <v>0.6</v>
      </c>
      <c r="C20" s="21" t="n">
        <v>8</v>
      </c>
      <c r="D20" s="27">
        <f>A20*B20/C20</f>
        <v/>
      </c>
      <c r="E20" s="4">
        <f>IF(D20&gt;=Premissas!$C$14,"SIM","nao")</f>
        <v/>
      </c>
      <c r="F20" s="28">
        <f>ROUNDUP(Premissas!$C$14/D20,0)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2026-08-25T00:43:39Z</dcterms:created>
  <dcterms:modified xmlns:dcterms="http://purl.org/dc/terms/" xmlns:xsi="http://www.w3.org/2001/XMLSchema-instance" xsi:type="dcterms:W3CDTF">2026-08-25T00:43:39Z</dcterms:modified>
</cp:coreProperties>
</file>