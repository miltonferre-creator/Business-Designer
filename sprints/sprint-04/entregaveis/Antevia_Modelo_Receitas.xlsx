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Mercado" sheetId="3" state="visible" r:id="rId3"/>
    <sheet xmlns:r="http://schemas.openxmlformats.org/officeDocument/2006/relationships" name="Cenarios" sheetId="4" state="visible" r:id="rId4"/>
    <sheet xmlns:r="http://schemas.openxmlformats.org/officeDocument/2006/relationships" name="Sensibilida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x&quot;"/>
  </numFmts>
  <fonts count="8">
    <font>
      <name val="Calibri"/>
      <family val="2"/>
      <color theme="1"/>
      <sz val="11"/>
      <scheme val="minor"/>
    </font>
    <font>
      <name val="Calibri"/>
      <b val="1"/>
      <color rgb="000B1220"/>
      <sz val="14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0B1220"/>
      <sz val="10"/>
    </font>
    <font>
      <name val="Calibri"/>
      <color rgb="000B1220"/>
      <sz val="10"/>
    </font>
    <font>
      <name val="Calibri"/>
      <b val="1"/>
      <color rgb="00B85042"/>
      <sz val="10"/>
    </font>
    <font>
      <name val="Calibri"/>
      <b val="1"/>
      <color rgb="000B1220"/>
      <sz val="12"/>
    </font>
  </fonts>
  <fills count="5">
    <fill>
      <patternFill/>
    </fill>
    <fill>
      <patternFill patternType="gray125"/>
    </fill>
    <fill>
      <patternFill patternType="solid">
        <fgColor rgb="001B2435"/>
      </patternFill>
    </fill>
    <fill>
      <patternFill patternType="solid">
        <fgColor rgb="00FDF1CB"/>
      </patternFill>
    </fill>
    <fill>
      <patternFill patternType="solid">
        <fgColor rgb="00E6E8F0"/>
      </patternFill>
    </fill>
  </fills>
  <borders count="2">
    <border>
      <left/>
      <right/>
      <top/>
      <bottom/>
      <diagonal/>
    </border>
    <border>
      <left style="thin">
        <color rgb="00E3E6EC"/>
      </left>
      <right style="thin">
        <color rgb="00E3E6EC"/>
      </right>
      <top style="thin">
        <color rgb="00E3E6EC"/>
      </top>
      <bottom style="thin">
        <color rgb="00E3E6E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5" fillId="0" borderId="1" pivotButton="0" quotePrefix="0" xfId="0"/>
    <xf numFmtId="3" fontId="4" fillId="3" borderId="1" pivotButton="0" quotePrefix="0" xfId="0"/>
    <xf numFmtId="0" fontId="7" fillId="0" borderId="0" pivotButton="0" quotePrefix="0" xfId="0"/>
    <xf numFmtId="0" fontId="5" fillId="0" borderId="1" pivotButton="0" quotePrefix="0" xfId="0"/>
    <xf numFmtId="3" fontId="4" fillId="0" borderId="1" pivotButton="0" quotePrefix="0" xfId="0"/>
    <xf numFmtId="0" fontId="4" fillId="3" borderId="1" pivotButton="0" quotePrefix="0" xfId="0"/>
    <xf numFmtId="3" fontId="4" fillId="4" borderId="1" pivotButton="0" quotePrefix="0" xfId="0"/>
    <xf numFmtId="165" fontId="4" fillId="4" borderId="1" pivotButton="0" quotePrefix="0" xfId="0"/>
    <xf numFmtId="164" fontId="4" fillId="3" borderId="1" pivotButton="0" quotePrefix="0" xfId="0"/>
    <xf numFmtId="0" fontId="6" fillId="0" borderId="1" pivotButton="0" quotePrefix="0" xfId="0"/>
    <xf numFmtId="164" fontId="4" fillId="4" borderId="1" pivotButton="0" quotePrefix="0" xfId="0"/>
    <xf numFmtId="4" fontId="4" fillId="4" borderId="1" pivotButton="0" quotePrefix="0" xfId="0"/>
    <xf numFmtId="3" fontId="5" fillId="3" borderId="1" pivotButton="0" quotePrefix="0" xfId="0"/>
    <xf numFmtId="0" fontId="3" fillId="2" borderId="1" pivotButton="0" quotePrefix="0" xfId="0"/>
    <xf numFmtId="3" fontId="3" fillId="2" borderId="1" pivotButton="0" quotePrefix="0" xfId="0"/>
    <xf numFmtId="164" fontId="4" fillId="0" borderId="1" pivotButton="0" quotePrefix="0" xfId="0"/>
    <xf numFmtId="164" fontId="5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6" customWidth="1" min="7" max="7"/>
    <col width="20" customWidth="1" min="8" max="8"/>
  </cols>
  <sheetData>
    <row r="1">
      <c r="A1" s="1" t="inlineStr">
        <is>
          <t>Antevia - Projecao de receitas - resumo dos 3 cenarios</t>
        </is>
      </c>
    </row>
    <row r="2">
      <c r="A2" s="2" t="inlineStr">
        <is>
          <t>Horizonte de 3 anos (12 trimestres). Todos os valores puxados da aba Cenarios.</t>
        </is>
      </c>
    </row>
    <row r="4">
      <c r="A4" s="3" t="inlineStr">
        <is>
          <t>Cenario</t>
        </is>
      </c>
      <c r="B4" s="3" t="inlineStr">
        <is>
          <t>Ano 1</t>
        </is>
      </c>
      <c r="C4" s="3" t="inlineStr">
        <is>
          <t>Ano 2</t>
        </is>
      </c>
      <c r="D4" s="3" t="inlineStr">
        <is>
          <t>Ano 3</t>
        </is>
      </c>
      <c r="E4" s="3" t="inlineStr">
        <is>
          <t>Total 3 anos</t>
        </is>
      </c>
      <c r="F4" s="3" t="inlineStr">
        <is>
          <t>Viagens</t>
        </is>
      </c>
      <c r="G4" s="3" t="inlineStr">
        <is>
          <t>GMV</t>
        </is>
      </c>
      <c r="H4" s="3" t="inlineStr">
        <is>
          <t>Economia dos alunos</t>
        </is>
      </c>
    </row>
    <row r="5">
      <c r="A5" s="4" t="inlineStr">
        <is>
          <t>Pessimista</t>
        </is>
      </c>
      <c r="B5" s="5">
        <f>Cenarios!D26</f>
        <v/>
      </c>
      <c r="C5" s="5">
        <f>Cenarios!D27</f>
        <v/>
      </c>
      <c r="D5" s="5">
        <f>Cenarios!D28</f>
        <v/>
      </c>
      <c r="E5" s="6">
        <f>Cenarios!D25</f>
        <v/>
      </c>
      <c r="F5" s="5">
        <f>Cenarios!C25</f>
        <v/>
      </c>
      <c r="G5" s="5">
        <f>Cenarios!E25</f>
        <v/>
      </c>
      <c r="H5" s="5">
        <f>Cenarios!F25</f>
        <v/>
      </c>
    </row>
    <row r="6">
      <c r="A6" s="4" t="inlineStr">
        <is>
          <t>Tendencial</t>
        </is>
      </c>
      <c r="B6" s="5">
        <f>Cenarios!D52</f>
        <v/>
      </c>
      <c r="C6" s="5">
        <f>Cenarios!D53</f>
        <v/>
      </c>
      <c r="D6" s="5">
        <f>Cenarios!D54</f>
        <v/>
      </c>
      <c r="E6" s="6">
        <f>Cenarios!D51</f>
        <v/>
      </c>
      <c r="F6" s="5">
        <f>Cenarios!C51</f>
        <v/>
      </c>
      <c r="G6" s="5">
        <f>Cenarios!E51</f>
        <v/>
      </c>
      <c r="H6" s="5">
        <f>Cenarios!F51</f>
        <v/>
      </c>
    </row>
    <row r="7">
      <c r="A7" s="4" t="inlineStr">
        <is>
          <t>Otimista</t>
        </is>
      </c>
      <c r="B7" s="5">
        <f>Cenarios!D78</f>
        <v/>
      </c>
      <c r="C7" s="5">
        <f>Cenarios!D79</f>
        <v/>
      </c>
      <c r="D7" s="5">
        <f>Cenarios!D80</f>
        <v/>
      </c>
      <c r="E7" s="6">
        <f>Cenarios!D77</f>
        <v/>
      </c>
      <c r="F7" s="5">
        <f>Cenarios!C77</f>
        <v/>
      </c>
      <c r="G7" s="5">
        <f>Cenarios!E77</f>
        <v/>
      </c>
      <c r="H7" s="5">
        <f>Cenarios!F77</f>
        <v/>
      </c>
    </row>
    <row r="10">
      <c r="A10" s="7" t="inlineStr">
        <is>
          <t>Economia unitaria por modulo</t>
        </is>
      </c>
    </row>
    <row r="11">
      <c r="A11" s="3" t="inlineStr">
        <is>
          <t>Item</t>
        </is>
      </c>
      <c r="B11" s="3" t="inlineStr">
        <is>
          <t>Hoje</t>
        </is>
      </c>
      <c r="C11" s="3" t="inlineStr">
        <is>
          <t>Com Antevia</t>
        </is>
      </c>
    </row>
    <row r="12">
      <c r="A12" s="8" t="inlineStr">
        <is>
          <t>Aereo</t>
        </is>
      </c>
      <c r="B12" s="5">
        <f>Premissas!$C$13</f>
        <v/>
      </c>
      <c r="C12" s="5">
        <f>Premissas!$C$14</f>
        <v/>
      </c>
    </row>
    <row r="13">
      <c r="A13" s="8" t="inlineStr">
        <is>
          <t>Hotel (2 diarias)</t>
        </is>
      </c>
      <c r="B13" s="5">
        <f>Premissas!$C$15</f>
        <v/>
      </c>
      <c r="C13" s="5">
        <f>Premissas!$C$16</f>
        <v/>
      </c>
    </row>
    <row r="14">
      <c r="A14" s="8" t="inlineStr">
        <is>
          <t>Traslado</t>
        </is>
      </c>
      <c r="B14" s="5">
        <f>Premissas!$C$17</f>
        <v/>
      </c>
      <c r="C14" s="5">
        <f>Premissas!$C$18</f>
        <v/>
      </c>
    </row>
    <row r="15">
      <c r="A15" s="4" t="inlineStr">
        <is>
          <t>Subtotal logistico</t>
        </is>
      </c>
      <c r="B15" s="9">
        <f>Premissas!$C$28</f>
        <v/>
      </c>
      <c r="C15" s="9">
        <f>Premissas!$C$27</f>
        <v/>
      </c>
    </row>
    <row r="16">
      <c r="A16" s="8" t="inlineStr">
        <is>
          <t>Taxa de servico Antevia</t>
        </is>
      </c>
      <c r="B16" s="5" t="n">
        <v>0</v>
      </c>
      <c r="C16" s="5">
        <f>Premissas!$C$19</f>
        <v/>
      </c>
    </row>
    <row r="17">
      <c r="A17" s="10" t="inlineStr">
        <is>
          <t>Total desembolsado</t>
        </is>
      </c>
      <c r="B17" s="6">
        <f>Premissas!$C$28</f>
        <v/>
      </c>
      <c r="C17" s="6">
        <f>Premissas!$C$27+Premissas!$C$19</f>
        <v/>
      </c>
    </row>
    <row r="18">
      <c r="A18" s="4" t="inlineStr">
        <is>
          <t>Economia liquida do aluno</t>
        </is>
      </c>
      <c r="C18" s="11">
        <f>Premissas!$C$34</f>
        <v/>
      </c>
    </row>
    <row r="19">
      <c r="A19" s="4" t="inlineStr">
        <is>
          <t>Retorno sobre a taxa</t>
        </is>
      </c>
      <c r="C19" s="12">
        <f>Premissas!$C$35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14" customWidth="1" min="3" max="3"/>
    <col width="12" customWidth="1" min="4" max="4"/>
    <col width="24" customWidth="1" min="5" max="5"/>
    <col width="12" customWidth="1" min="6" max="6"/>
  </cols>
  <sheetData>
    <row r="1">
      <c r="A1" s="1" t="inlineStr">
        <is>
          <t>Antevia - Sprint 4 - Premissas do modelo de receitas</t>
        </is>
      </c>
    </row>
    <row r="2">
      <c r="A2" s="2" t="inlineStr">
        <is>
          <t>Edite apenas as celulas em dourado (entradas). Celulas em azul claro sao derivadas por formula.</t>
        </is>
      </c>
    </row>
    <row r="4">
      <c r="A4" s="3" t="inlineStr">
        <is>
          <t>ID</t>
        </is>
      </c>
      <c r="B4" s="3" t="inlineStr">
        <is>
          <t>Premissa</t>
        </is>
      </c>
      <c r="C4" s="3" t="inlineStr">
        <is>
          <t>Valor</t>
        </is>
      </c>
      <c r="D4" s="3" t="inlineStr">
        <is>
          <t>Unidade</t>
        </is>
      </c>
      <c r="E4" s="3" t="inlineStr">
        <is>
          <t>Origem</t>
        </is>
      </c>
      <c r="F4" s="3" t="inlineStr">
        <is>
          <t>Status</t>
        </is>
      </c>
    </row>
    <row r="5">
      <c r="A5" s="4" t="inlineStr">
        <is>
          <t>P1</t>
        </is>
      </c>
      <c r="B5" s="8" t="inlineStr">
        <is>
          <t>Matriculados em pos-graduacao (Brasil)</t>
        </is>
      </c>
      <c r="C5" s="6" t="n">
        <v>1400000</v>
      </c>
      <c r="D5" s="8" t="inlineStr">
        <is>
          <t>alunos</t>
        </is>
      </c>
      <c r="E5" s="8" t="inlineStr">
        <is>
          <t>IBGE</t>
        </is>
      </c>
      <c r="F5" s="8" t="inlineStr">
        <is>
          <t>Validada</t>
        </is>
      </c>
    </row>
    <row r="6">
      <c r="A6" s="4" t="inlineStr">
        <is>
          <t>P2</t>
        </is>
      </c>
      <c r="B6" s="8" t="inlineStr">
        <is>
          <t>Fatia em programas executivos presenciais</t>
        </is>
      </c>
      <c r="C6" s="13" t="n">
        <v>0.12</v>
      </c>
      <c r="D6" s="8" t="inlineStr">
        <is>
          <t>%</t>
        </is>
      </c>
      <c r="E6" s="8" t="inlineStr">
        <is>
          <t>Estimativa do grupo</t>
        </is>
      </c>
      <c r="F6" s="14" t="inlineStr">
        <is>
          <t>A validar</t>
        </is>
      </c>
    </row>
    <row r="7">
      <c r="A7" s="4" t="inlineStr">
        <is>
          <t>P3</t>
        </is>
      </c>
      <c r="B7" s="8" t="inlineStr">
        <is>
          <t>Fatia que viaja de outra cidade</t>
        </is>
      </c>
      <c r="C7" s="13" t="n">
        <v>0.25</v>
      </c>
      <c r="D7" s="8" t="inlineStr">
        <is>
          <t>%</t>
        </is>
      </c>
      <c r="E7" s="8" t="inlineStr">
        <is>
          <t>Entrevistas Sprint 1</t>
        </is>
      </c>
      <c r="F7" s="14" t="inlineStr">
        <is>
          <t>A validar</t>
        </is>
      </c>
    </row>
    <row r="8">
      <c r="A8" s="4" t="inlineStr">
        <is>
          <t>P4</t>
        </is>
      </c>
      <c r="B8" s="8" t="inlineStr">
        <is>
          <t>SAM como fatia do TAM</t>
        </is>
      </c>
      <c r="C8" s="13" t="n">
        <v>0.25</v>
      </c>
      <c r="D8" s="8" t="inlineStr">
        <is>
          <t>%</t>
        </is>
      </c>
      <c r="E8" s="8" t="inlineStr">
        <is>
          <t>Estimativa do grupo</t>
        </is>
      </c>
      <c r="F8" s="14" t="inlineStr">
        <is>
          <t>A validar</t>
        </is>
      </c>
    </row>
    <row r="9">
      <c r="A9" s="4" t="inlineStr">
        <is>
          <t>P5</t>
        </is>
      </c>
      <c r="B9" s="8" t="inlineStr">
        <is>
          <t>Alunos por turma</t>
        </is>
      </c>
      <c r="C9" s="6" t="n">
        <v>100</v>
      </c>
      <c r="D9" s="8" t="inlineStr">
        <is>
          <t>alunos</t>
        </is>
      </c>
      <c r="E9" s="8" t="inlineStr">
        <is>
          <t>Padrao FDC</t>
        </is>
      </c>
      <c r="F9" s="8" t="inlineStr">
        <is>
          <t>Validada</t>
        </is>
      </c>
    </row>
    <row r="10">
      <c r="A10" s="4" t="inlineStr">
        <is>
          <t>P6</t>
        </is>
      </c>
      <c r="B10" s="8" t="inlineStr">
        <is>
          <t>Modulos por programa</t>
        </is>
      </c>
      <c r="C10" s="6" t="n">
        <v>12</v>
      </c>
      <c r="D10" s="8" t="inlineStr">
        <is>
          <t>modulos</t>
        </is>
      </c>
      <c r="E10" s="8" t="inlineStr">
        <is>
          <t>Padrao FDC</t>
        </is>
      </c>
      <c r="F10" s="8" t="inlineStr">
        <is>
          <t>Validada</t>
        </is>
      </c>
    </row>
    <row r="11">
      <c r="A11" s="4" t="inlineStr">
        <is>
          <t>P7</t>
        </is>
      </c>
      <c r="B11" s="8" t="inlineStr">
        <is>
          <t>Duracao do ciclo da turma</t>
        </is>
      </c>
      <c r="C11" s="6" t="n">
        <v>20</v>
      </c>
      <c r="D11" s="8" t="inlineStr">
        <is>
          <t>meses</t>
        </is>
      </c>
      <c r="E11" s="8" t="inlineStr">
        <is>
          <t>Persona Ricardo</t>
        </is>
      </c>
      <c r="F11" s="8" t="inlineStr">
        <is>
          <t>Validada</t>
        </is>
      </c>
    </row>
    <row r="12">
      <c r="A12" s="4" t="inlineStr">
        <is>
          <t>P8</t>
        </is>
      </c>
      <c r="B12" s="8" t="inlineStr">
        <is>
          <t>Adesao da turma (tendencial)</t>
        </is>
      </c>
      <c r="C12" s="13" t="n">
        <v>0.6</v>
      </c>
      <c r="D12" s="8" t="inlineStr">
        <is>
          <t>%</t>
        </is>
      </c>
      <c r="E12" s="8" t="inlineStr">
        <is>
          <t>Velt / Bruno Brant</t>
        </is>
      </c>
      <c r="F12" s="8" t="inlineStr">
        <is>
          <t>Calibrada</t>
        </is>
      </c>
    </row>
    <row r="13">
      <c r="A13" s="4" t="inlineStr">
        <is>
          <t>P9</t>
        </is>
      </c>
      <c r="B13" s="8" t="inlineStr">
        <is>
          <t>Aereo i/v - compra &lt;30 dias</t>
        </is>
      </c>
      <c r="C13" s="6" t="n">
        <v>1400</v>
      </c>
      <c r="D13" s="8" t="inlineStr">
        <is>
          <t>R$</t>
        </is>
      </c>
      <c r="E13" s="8" t="inlineStr">
        <is>
          <t>ANAC/ABEAR</t>
        </is>
      </c>
      <c r="F13" s="14" t="inlineStr">
        <is>
          <t>A validar</t>
        </is>
      </c>
    </row>
    <row r="14">
      <c r="A14" s="4" t="inlineStr">
        <is>
          <t>P10</t>
        </is>
      </c>
      <c r="B14" s="8" t="inlineStr">
        <is>
          <t>Aereo i/v - preco de bloqueio</t>
        </is>
      </c>
      <c r="C14" s="6" t="n">
        <v>1020</v>
      </c>
      <c r="D14" s="8" t="inlineStr">
        <is>
          <t>R$</t>
        </is>
      </c>
      <c r="E14" s="8" t="inlineStr">
        <is>
          <t>Velt / Bruno Brant</t>
        </is>
      </c>
      <c r="F14" s="8" t="inlineStr">
        <is>
          <t>Calibrada</t>
        </is>
      </c>
    </row>
    <row r="15">
      <c r="A15" s="4" t="inlineStr">
        <is>
          <t>P11</t>
        </is>
      </c>
      <c r="B15" s="8" t="inlineStr">
        <is>
          <t>Hotel 2 diarias - balcao</t>
        </is>
      </c>
      <c r="C15" s="6" t="n">
        <v>600</v>
      </c>
      <c r="D15" s="8" t="inlineStr">
        <is>
          <t>R$</t>
        </is>
      </c>
      <c r="E15" s="8" t="inlineStr">
        <is>
          <t>Estimativa do grupo</t>
        </is>
      </c>
      <c r="F15" s="14" t="inlineStr">
        <is>
          <t>A validar</t>
        </is>
      </c>
    </row>
    <row r="16">
      <c r="A16" s="4" t="inlineStr">
        <is>
          <t>P12</t>
        </is>
      </c>
      <c r="B16" s="8" t="inlineStr">
        <is>
          <t>Hotel 2 diarias - preco de bloqueio</t>
        </is>
      </c>
      <c r="C16" s="6" t="n">
        <v>500</v>
      </c>
      <c r="D16" s="8" t="inlineStr">
        <is>
          <t>R$</t>
        </is>
      </c>
      <c r="E16" s="8" t="inlineStr">
        <is>
          <t>Estimativa do grupo</t>
        </is>
      </c>
      <c r="F16" s="14" t="inlineStr">
        <is>
          <t>A validar</t>
        </is>
      </c>
    </row>
    <row r="17">
      <c r="A17" s="4" t="inlineStr">
        <is>
          <t>P13</t>
        </is>
      </c>
      <c r="B17" s="8" t="inlineStr">
        <is>
          <t>Traslado - balcao</t>
        </is>
      </c>
      <c r="C17" s="6" t="n">
        <v>200</v>
      </c>
      <c r="D17" s="8" t="inlineStr">
        <is>
          <t>R$</t>
        </is>
      </c>
      <c r="E17" s="8" t="inlineStr">
        <is>
          <t>Estimativa do grupo</t>
        </is>
      </c>
      <c r="F17" s="14" t="inlineStr">
        <is>
          <t>A validar</t>
        </is>
      </c>
    </row>
    <row r="18">
      <c r="A18" s="4" t="inlineStr">
        <is>
          <t>P14</t>
        </is>
      </c>
      <c r="B18" s="8" t="inlineStr">
        <is>
          <t>Traslado - preco negociado</t>
        </is>
      </c>
      <c r="C18" s="6" t="n">
        <v>180</v>
      </c>
      <c r="D18" s="8" t="inlineStr">
        <is>
          <t>R$</t>
        </is>
      </c>
      <c r="E18" s="8" t="inlineStr">
        <is>
          <t>Estimativa do grupo</t>
        </is>
      </c>
      <c r="F18" s="14" t="inlineStr">
        <is>
          <t>A validar</t>
        </is>
      </c>
    </row>
    <row r="19">
      <c r="A19" s="4" t="inlineStr">
        <is>
          <t>P15</t>
        </is>
      </c>
      <c r="B19" s="8" t="inlineStr">
        <is>
          <t>Taxa de servico por modulo</t>
        </is>
      </c>
      <c r="C19" s="6" t="n">
        <v>100</v>
      </c>
      <c r="D19" s="8" t="inlineStr">
        <is>
          <t>R$</t>
        </is>
      </c>
      <c r="E19" s="8" t="inlineStr">
        <is>
          <t>H6 Sprint 1</t>
        </is>
      </c>
      <c r="F19" s="14" t="inlineStr">
        <is>
          <t>A validar</t>
        </is>
      </c>
    </row>
    <row r="20">
      <c r="A20" s="4" t="inlineStr">
        <is>
          <t>P16</t>
        </is>
      </c>
      <c r="B20" s="8" t="inlineStr">
        <is>
          <t>Comissao sobre aereo</t>
        </is>
      </c>
      <c r="C20" s="13" t="n">
        <v>0.04</v>
      </c>
      <c r="D20" s="8" t="inlineStr">
        <is>
          <t>%</t>
        </is>
      </c>
      <c r="E20" s="8" t="inlineStr">
        <is>
          <t>Pratica de mercado</t>
        </is>
      </c>
      <c r="F20" s="8" t="inlineStr">
        <is>
          <t>Calibrada</t>
        </is>
      </c>
    </row>
    <row r="21">
      <c r="A21" s="4" t="inlineStr">
        <is>
          <t>P17</t>
        </is>
      </c>
      <c r="B21" s="8" t="inlineStr">
        <is>
          <t>Comissao sobre hotel</t>
        </is>
      </c>
      <c r="C21" s="13" t="n">
        <v>0.1</v>
      </c>
      <c r="D21" s="8" t="inlineStr">
        <is>
          <t>%</t>
        </is>
      </c>
      <c r="E21" s="8" t="inlineStr">
        <is>
          <t>Pratica de mercado</t>
        </is>
      </c>
      <c r="F21" s="8" t="inlineStr">
        <is>
          <t>Calibrada</t>
        </is>
      </c>
    </row>
    <row r="22">
      <c r="A22" s="4" t="inlineStr">
        <is>
          <t>P18</t>
        </is>
      </c>
      <c r="B22" s="8" t="inlineStr">
        <is>
          <t>Comissao sobre traslado</t>
        </is>
      </c>
      <c r="C22" s="13" t="n">
        <v>0.1</v>
      </c>
      <c r="D22" s="8" t="inlineStr">
        <is>
          <t>%</t>
        </is>
      </c>
      <c r="E22" s="8" t="inlineStr">
        <is>
          <t>Pratica de mercado</t>
        </is>
      </c>
      <c r="F22" s="8" t="inlineStr">
        <is>
          <t>Calibrada</t>
        </is>
      </c>
    </row>
    <row r="23">
      <c r="A23" s="4" t="inlineStr">
        <is>
          <t>P19</t>
        </is>
      </c>
      <c r="B23" s="8" t="inlineStr">
        <is>
          <t>Fee da escola por turma (nao modelado)</t>
        </is>
      </c>
      <c r="C23" s="6" t="n">
        <v>0</v>
      </c>
      <c r="D23" s="8" t="inlineStr">
        <is>
          <t>R$</t>
        </is>
      </c>
      <c r="E23" s="8" t="inlineStr">
        <is>
          <t>Decisao do grupo</t>
        </is>
      </c>
      <c r="F23" s="8" t="inlineStr">
        <is>
          <t>-</t>
        </is>
      </c>
    </row>
    <row r="25">
      <c r="A25" s="7" t="inlineStr">
        <is>
          <t>Derivados</t>
        </is>
      </c>
    </row>
    <row r="26">
      <c r="A26" s="3" t="inlineStr">
        <is>
          <t>ID</t>
        </is>
      </c>
      <c r="B26" s="3" t="inlineStr">
        <is>
          <t>Item</t>
        </is>
      </c>
      <c r="C26" s="3" t="inlineStr">
        <is>
          <t>Valor</t>
        </is>
      </c>
      <c r="D26" s="3" t="inlineStr">
        <is>
          <t>Como e calculado</t>
        </is>
      </c>
    </row>
    <row r="27">
      <c r="A27" s="4" t="inlineStr">
        <is>
          <t>D1</t>
        </is>
      </c>
      <c r="B27" s="8" t="inlineStr">
        <is>
          <t>Ticket logistico com Antevia</t>
        </is>
      </c>
      <c r="C27" s="11">
        <f>C14+C16+C18</f>
        <v/>
      </c>
      <c r="D27" s="8" t="inlineStr">
        <is>
          <t>P10 + P12 + P14</t>
        </is>
      </c>
    </row>
    <row r="28">
      <c r="A28" s="4" t="inlineStr">
        <is>
          <t>D2</t>
        </is>
      </c>
      <c r="B28" s="8" t="inlineStr">
        <is>
          <t>Ticket hoje (compra tardia)</t>
        </is>
      </c>
      <c r="C28" s="11">
        <f>C13+C15+C17</f>
        <v/>
      </c>
      <c r="D28" s="8" t="inlineStr">
        <is>
          <t>P9 + P11 + P13</t>
        </is>
      </c>
    </row>
    <row r="29">
      <c r="A29" s="4" t="inlineStr">
        <is>
          <t>D3</t>
        </is>
      </c>
      <c r="B29" s="8" t="inlineStr">
        <is>
          <t>Economia logistica por modulo</t>
        </is>
      </c>
      <c r="C29" s="11">
        <f>C28-C27</f>
        <v/>
      </c>
      <c r="D29" s="8" t="inlineStr">
        <is>
          <t>D2 - D1</t>
        </is>
      </c>
    </row>
    <row r="30">
      <c r="A30" s="4" t="inlineStr">
        <is>
          <t>D4</t>
        </is>
      </c>
      <c r="B30" s="8" t="inlineStr">
        <is>
          <t>Desconto medio do bloqueio</t>
        </is>
      </c>
      <c r="C30" s="15">
        <f>1-C27/C28</f>
        <v/>
      </c>
      <c r="D30" s="8" t="inlineStr">
        <is>
          <t>1 - D1/D2</t>
        </is>
      </c>
    </row>
    <row r="31">
      <c r="A31" s="4" t="inlineStr">
        <is>
          <t>D5</t>
        </is>
      </c>
      <c r="B31" s="8" t="inlineStr">
        <is>
          <t>Comissao por viagem</t>
        </is>
      </c>
      <c r="C31" s="16">
        <f>C14*C20+C16*C21+C18*C22</f>
        <v/>
      </c>
      <c r="D31" s="8" t="inlineStr">
        <is>
          <t>P10xP16 + P12xP17 + P14xP18</t>
        </is>
      </c>
    </row>
    <row r="32">
      <c r="A32" s="4" t="inlineStr">
        <is>
          <t>D6</t>
        </is>
      </c>
      <c r="B32" s="8" t="inlineStr">
        <is>
          <t>Comissao media sobre o ticket</t>
        </is>
      </c>
      <c r="C32" s="15">
        <f>C31/C27</f>
        <v/>
      </c>
      <c r="D32" s="8" t="inlineStr">
        <is>
          <t>D5 / D1</t>
        </is>
      </c>
    </row>
    <row r="33">
      <c r="A33" s="4" t="inlineStr">
        <is>
          <t>D7</t>
        </is>
      </c>
      <c r="B33" s="8" t="inlineStr">
        <is>
          <t>Receita por viagem</t>
        </is>
      </c>
      <c r="C33" s="16">
        <f>C19+C31</f>
        <v/>
      </c>
      <c r="D33" s="8" t="inlineStr">
        <is>
          <t>P15 + D5</t>
        </is>
      </c>
    </row>
    <row r="34">
      <c r="A34" s="4" t="inlineStr">
        <is>
          <t>D8</t>
        </is>
      </c>
      <c r="B34" s="8" t="inlineStr">
        <is>
          <t>Economia liquida do aluno</t>
        </is>
      </c>
      <c r="C34" s="11">
        <f>C29-C19</f>
        <v/>
      </c>
      <c r="D34" s="8" t="inlineStr">
        <is>
          <t>D3 - P15</t>
        </is>
      </c>
    </row>
    <row r="35">
      <c r="A35" s="4" t="inlineStr">
        <is>
          <t>D9</t>
        </is>
      </c>
      <c r="B35" s="8" t="inlineStr">
        <is>
          <t>Retorno do aluno sobre a taxa</t>
        </is>
      </c>
      <c r="C35" s="12">
        <f>C34/C19</f>
        <v/>
      </c>
      <c r="D35" s="8" t="inlineStr">
        <is>
          <t>D8 / P15</t>
        </is>
      </c>
    </row>
    <row r="36">
      <c r="A36" s="4" t="inlineStr">
        <is>
          <t>D10</t>
        </is>
      </c>
      <c r="B36" s="8" t="inlineStr">
        <is>
          <t>Viagens por turma/trimestre</t>
        </is>
      </c>
      <c r="C36" s="11">
        <f>C9*C12*(C10/C11)*3</f>
        <v/>
      </c>
      <c r="D36" s="8" t="inlineStr">
        <is>
          <t>P5 x P8 x (P6/P7) x 3</t>
        </is>
      </c>
    </row>
    <row r="37">
      <c r="A37" s="4" t="inlineStr">
        <is>
          <t>D11</t>
        </is>
      </c>
      <c r="B37" s="8" t="inlineStr">
        <is>
          <t>Receita por turma/trimestre</t>
        </is>
      </c>
      <c r="C37" s="11">
        <f>C36*C33</f>
        <v/>
      </c>
      <c r="D37" s="8" t="inlineStr">
        <is>
          <t>D10 x D7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20" customWidth="1" min="3" max="3"/>
    <col width="18" customWidth="1" min="4" max="4"/>
  </cols>
  <sheetData>
    <row r="1">
      <c r="A1" s="1" t="inlineStr">
        <is>
          <t>Dimensionamento de mercado - memoria de calculo</t>
        </is>
      </c>
    </row>
    <row r="2">
      <c r="A2" s="2" t="inlineStr">
        <is>
          <t>Construcao de baixo para cima a partir da base do IBGE usada na Sprint 1.</t>
        </is>
      </c>
    </row>
    <row r="4">
      <c r="A4" s="3" t="inlineStr">
        <is>
          <t>#</t>
        </is>
      </c>
      <c r="B4" s="3" t="inlineStr">
        <is>
          <t>Etapa</t>
        </is>
      </c>
      <c r="C4" s="3" t="inlineStr">
        <is>
          <t>Operacao</t>
        </is>
      </c>
      <c r="D4" s="3" t="inlineStr">
        <is>
          <t>Resultado</t>
        </is>
      </c>
    </row>
    <row r="5">
      <c r="A5" s="4" t="inlineStr">
        <is>
          <t>1</t>
        </is>
      </c>
      <c r="B5" s="8" t="inlineStr">
        <is>
          <t>Matriculados em pos-graduacao (IBGE)</t>
        </is>
      </c>
      <c r="C5" s="8" t="inlineStr">
        <is>
          <t>base</t>
        </is>
      </c>
      <c r="D5" s="5">
        <f>Premissas!$C$5</f>
        <v/>
      </c>
    </row>
    <row r="6">
      <c r="A6" s="4" t="inlineStr">
        <is>
          <t>2</t>
        </is>
      </c>
      <c r="B6" s="8" t="inlineStr">
        <is>
          <t>Em programas executivos presenciais</t>
        </is>
      </c>
      <c r="C6" s="8" t="inlineStr">
        <is>
          <t>x P2</t>
        </is>
      </c>
      <c r="D6" s="5">
        <f>D5*Premissas!$C$6</f>
        <v/>
      </c>
    </row>
    <row r="7">
      <c r="A7" s="4" t="inlineStr">
        <is>
          <t>3</t>
        </is>
      </c>
      <c r="B7" s="8" t="inlineStr">
        <is>
          <t>TAM - alunos que viajam de outra cidade</t>
        </is>
      </c>
      <c r="C7" s="8" t="inlineStr">
        <is>
          <t>x P3</t>
        </is>
      </c>
      <c r="D7" s="9">
        <f>D6*Premissas!$C$7</f>
        <v/>
      </c>
    </row>
    <row r="8">
      <c r="A8" s="4" t="inlineStr">
        <is>
          <t>4</t>
        </is>
      </c>
      <c r="B8" s="8" t="inlineStr">
        <is>
          <t>TAM - viagens por ano</t>
        </is>
      </c>
      <c r="C8" s="8" t="inlineStr">
        <is>
          <t>x (P6/P7) x 12</t>
        </is>
      </c>
      <c r="D8" s="9">
        <f>D7*(Premissas!$C$10/Premissas!$C$11)*12</f>
        <v/>
      </c>
    </row>
    <row r="9">
      <c r="A9" s="4" t="inlineStr">
        <is>
          <t>5</t>
        </is>
      </c>
      <c r="B9" s="8" t="inlineStr">
        <is>
          <t>TAM - volume logistico (GMV) por ano</t>
        </is>
      </c>
      <c r="C9" s="8" t="inlineStr">
        <is>
          <t>x D1</t>
        </is>
      </c>
      <c r="D9" s="9">
        <f>D8*Premissas!$C$27</f>
        <v/>
      </c>
    </row>
    <row r="10">
      <c r="A10" s="4" t="inlineStr">
        <is>
          <t>6</t>
        </is>
      </c>
      <c r="B10" s="8" t="inlineStr">
        <is>
          <t>TAM - receita capturavel por ano</t>
        </is>
      </c>
      <c r="C10" s="8" t="inlineStr">
        <is>
          <t>x D7</t>
        </is>
      </c>
      <c r="D10" s="9">
        <f>D8*Premissas!$C$33</f>
        <v/>
      </c>
    </row>
    <row r="12">
      <c r="B12" s="4" t="inlineStr">
        <is>
          <t>SAM - alunos (campi com fluxo de fora)</t>
        </is>
      </c>
      <c r="C12" s="8" t="inlineStr">
        <is>
          <t>TAM x P4</t>
        </is>
      </c>
      <c r="D12" s="11">
        <f>D7*Premissas!$C$8</f>
        <v/>
      </c>
    </row>
    <row r="13">
      <c r="B13" s="4" t="inlineStr">
        <is>
          <t>SAM - viagens por ano</t>
        </is>
      </c>
      <c r="C13" s="8" t="inlineStr">
        <is>
          <t>x (P6/P7) x 12</t>
        </is>
      </c>
      <c r="D13" s="11">
        <f>D12*(Premissas!$C$10/Premissas!$C$11)*12</f>
        <v/>
      </c>
    </row>
    <row r="14">
      <c r="B14" s="4" t="inlineStr">
        <is>
          <t>SAM - receita capturavel por ano</t>
        </is>
      </c>
      <c r="C14" s="8" t="inlineStr">
        <is>
          <t>x D7</t>
        </is>
      </c>
      <c r="D14" s="11">
        <f>D13*Premissas!$C$33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16" customWidth="1" min="5" max="5"/>
    <col width="24" customWidth="1" min="6" max="6"/>
  </cols>
  <sheetData>
    <row r="1">
      <c r="A1" s="1" t="inlineStr">
        <is>
          <t>Cenarios de receita - Volume x Preco - 12 trimestres</t>
        </is>
      </c>
    </row>
    <row r="2">
      <c r="A2" s="2" t="inlineStr">
        <is>
          <t>O cenario tendencial herda a comissao das premissas P16-P18. Pessimista e otimista usam taxa media propria.</t>
        </is>
      </c>
    </row>
    <row r="4">
      <c r="A4" s="7" t="inlineStr">
        <is>
          <t>Pessimista</t>
        </is>
      </c>
    </row>
    <row r="5">
      <c r="A5" s="3" t="inlineStr">
        <is>
          <t>Parametro</t>
        </is>
      </c>
      <c r="B5" s="3" t="inlineStr">
        <is>
          <t>Valor</t>
        </is>
      </c>
    </row>
    <row r="6">
      <c r="A6" s="8" t="inlineStr">
        <is>
          <t>Adesao da turma</t>
        </is>
      </c>
      <c r="B6" s="13" t="n">
        <v>0.5</v>
      </c>
    </row>
    <row r="7">
      <c r="A7" s="8" t="inlineStr">
        <is>
          <t>Taxa de servico (R$)</t>
        </is>
      </c>
      <c r="B7" s="6" t="n">
        <v>50</v>
      </c>
    </row>
    <row r="8">
      <c r="A8" s="8" t="inlineStr">
        <is>
          <t>Comissao media sobre o ticket</t>
        </is>
      </c>
      <c r="B8" s="13" t="n">
        <v>0.05</v>
      </c>
    </row>
    <row r="9">
      <c r="A9" s="8" t="inlineStr">
        <is>
          <t>Viagens por turma/trimestre</t>
        </is>
      </c>
      <c r="B9" s="11">
        <f>Premissas!$C$9*B6*(Premissas!$C$10/Premissas!$C$11)*3</f>
        <v/>
      </c>
    </row>
    <row r="10">
      <c r="A10" s="8" t="inlineStr">
        <is>
          <t>Receita por viagem (R$)</t>
        </is>
      </c>
      <c r="B10" s="16">
        <f>B7+Premissas!$C$27*B8</f>
        <v/>
      </c>
    </row>
    <row r="12">
      <c r="A12" s="3" t="inlineStr">
        <is>
          <t>Trimestre</t>
        </is>
      </c>
      <c r="B12" s="3" t="inlineStr">
        <is>
          <t>Turmas ativas</t>
        </is>
      </c>
      <c r="C12" s="3" t="inlineStr">
        <is>
          <t>Viagens</t>
        </is>
      </c>
      <c r="D12" s="3" t="inlineStr">
        <is>
          <t>Receita (R$)</t>
        </is>
      </c>
      <c r="E12" s="3" t="inlineStr">
        <is>
          <t>GMV (R$)</t>
        </is>
      </c>
      <c r="F12" s="3" t="inlineStr">
        <is>
          <t>Economia dos alunos (R$)</t>
        </is>
      </c>
    </row>
    <row r="13">
      <c r="A13" s="4" t="inlineStr">
        <is>
          <t>T1</t>
        </is>
      </c>
      <c r="B13" s="17" t="n">
        <v>0</v>
      </c>
      <c r="C13" s="5">
        <f>B13*$B$9</f>
        <v/>
      </c>
      <c r="D13" s="5">
        <f>C13*$B$10</f>
        <v/>
      </c>
      <c r="E13" s="5">
        <f>C13*Premissas!$C$27</f>
        <v/>
      </c>
      <c r="F13" s="5">
        <f>C13*(Premissas!$C$29-$B$7)</f>
        <v/>
      </c>
    </row>
    <row r="14">
      <c r="A14" s="4" t="inlineStr">
        <is>
          <t>T2</t>
        </is>
      </c>
      <c r="B14" s="17" t="n">
        <v>1</v>
      </c>
      <c r="C14" s="5">
        <f>B14*$B$9</f>
        <v/>
      </c>
      <c r="D14" s="5">
        <f>C14*$B$10</f>
        <v/>
      </c>
      <c r="E14" s="5">
        <f>C14*Premissas!$C$27</f>
        <v/>
      </c>
      <c r="F14" s="5">
        <f>C14*(Premissas!$C$29-$B$7)</f>
        <v/>
      </c>
    </row>
    <row r="15">
      <c r="A15" s="4" t="inlineStr">
        <is>
          <t>T3</t>
        </is>
      </c>
      <c r="B15" s="17" t="n">
        <v>2</v>
      </c>
      <c r="C15" s="5">
        <f>B15*$B$9</f>
        <v/>
      </c>
      <c r="D15" s="5">
        <f>C15*$B$10</f>
        <v/>
      </c>
      <c r="E15" s="5">
        <f>C15*Premissas!$C$27</f>
        <v/>
      </c>
      <c r="F15" s="5">
        <f>C15*(Premissas!$C$29-$B$7)</f>
        <v/>
      </c>
    </row>
    <row r="16">
      <c r="A16" s="4" t="inlineStr">
        <is>
          <t>T4</t>
        </is>
      </c>
      <c r="B16" s="17" t="n">
        <v>3</v>
      </c>
      <c r="C16" s="5">
        <f>B16*$B$9</f>
        <v/>
      </c>
      <c r="D16" s="5">
        <f>C16*$B$10</f>
        <v/>
      </c>
      <c r="E16" s="5">
        <f>C16*Premissas!$C$27</f>
        <v/>
      </c>
      <c r="F16" s="5">
        <f>C16*(Premissas!$C$29-$B$7)</f>
        <v/>
      </c>
    </row>
    <row r="17">
      <c r="A17" s="4" t="inlineStr">
        <is>
          <t>T5</t>
        </is>
      </c>
      <c r="B17" s="17" t="n">
        <v>5</v>
      </c>
      <c r="C17" s="5">
        <f>B17*$B$9</f>
        <v/>
      </c>
      <c r="D17" s="5">
        <f>C17*$B$10</f>
        <v/>
      </c>
      <c r="E17" s="5">
        <f>C17*Premissas!$C$27</f>
        <v/>
      </c>
      <c r="F17" s="5">
        <f>C17*(Premissas!$C$29-$B$7)</f>
        <v/>
      </c>
    </row>
    <row r="18">
      <c r="A18" s="4" t="inlineStr">
        <is>
          <t>T6</t>
        </is>
      </c>
      <c r="B18" s="17" t="n">
        <v>7</v>
      </c>
      <c r="C18" s="5">
        <f>B18*$B$9</f>
        <v/>
      </c>
      <c r="D18" s="5">
        <f>C18*$B$10</f>
        <v/>
      </c>
      <c r="E18" s="5">
        <f>C18*Premissas!$C$27</f>
        <v/>
      </c>
      <c r="F18" s="5">
        <f>C18*(Premissas!$C$29-$B$7)</f>
        <v/>
      </c>
    </row>
    <row r="19">
      <c r="A19" s="4" t="inlineStr">
        <is>
          <t>T7</t>
        </is>
      </c>
      <c r="B19" s="17" t="n">
        <v>9</v>
      </c>
      <c r="C19" s="5">
        <f>B19*$B$9</f>
        <v/>
      </c>
      <c r="D19" s="5">
        <f>C19*$B$10</f>
        <v/>
      </c>
      <c r="E19" s="5">
        <f>C19*Premissas!$C$27</f>
        <v/>
      </c>
      <c r="F19" s="5">
        <f>C19*(Premissas!$C$29-$B$7)</f>
        <v/>
      </c>
    </row>
    <row r="20">
      <c r="A20" s="4" t="inlineStr">
        <is>
          <t>T8</t>
        </is>
      </c>
      <c r="B20" s="17" t="n">
        <v>12</v>
      </c>
      <c r="C20" s="5">
        <f>B20*$B$9</f>
        <v/>
      </c>
      <c r="D20" s="5">
        <f>C20*$B$10</f>
        <v/>
      </c>
      <c r="E20" s="5">
        <f>C20*Premissas!$C$27</f>
        <v/>
      </c>
      <c r="F20" s="5">
        <f>C20*(Premissas!$C$29-$B$7)</f>
        <v/>
      </c>
    </row>
    <row r="21">
      <c r="A21" s="4" t="inlineStr">
        <is>
          <t>T9</t>
        </is>
      </c>
      <c r="B21" s="17" t="n">
        <v>15</v>
      </c>
      <c r="C21" s="5">
        <f>B21*$B$9</f>
        <v/>
      </c>
      <c r="D21" s="5">
        <f>C21*$B$10</f>
        <v/>
      </c>
      <c r="E21" s="5">
        <f>C21*Premissas!$C$27</f>
        <v/>
      </c>
      <c r="F21" s="5">
        <f>C21*(Premissas!$C$29-$B$7)</f>
        <v/>
      </c>
    </row>
    <row r="22">
      <c r="A22" s="4" t="inlineStr">
        <is>
          <t>T10</t>
        </is>
      </c>
      <c r="B22" s="17" t="n">
        <v>18</v>
      </c>
      <c r="C22" s="5">
        <f>B22*$B$9</f>
        <v/>
      </c>
      <c r="D22" s="5">
        <f>C22*$B$10</f>
        <v/>
      </c>
      <c r="E22" s="5">
        <f>C22*Premissas!$C$27</f>
        <v/>
      </c>
      <c r="F22" s="5">
        <f>C22*(Premissas!$C$29-$B$7)</f>
        <v/>
      </c>
    </row>
    <row r="23">
      <c r="A23" s="4" t="inlineStr">
        <is>
          <t>T11</t>
        </is>
      </c>
      <c r="B23" s="17" t="n">
        <v>21</v>
      </c>
      <c r="C23" s="5">
        <f>B23*$B$9</f>
        <v/>
      </c>
      <c r="D23" s="5">
        <f>C23*$B$10</f>
        <v/>
      </c>
      <c r="E23" s="5">
        <f>C23*Premissas!$C$27</f>
        <v/>
      </c>
      <c r="F23" s="5">
        <f>C23*(Premissas!$C$29-$B$7)</f>
        <v/>
      </c>
    </row>
    <row r="24">
      <c r="A24" s="4" t="inlineStr">
        <is>
          <t>T12</t>
        </is>
      </c>
      <c r="B24" s="17" t="n">
        <v>24</v>
      </c>
      <c r="C24" s="5">
        <f>B24*$B$9</f>
        <v/>
      </c>
      <c r="D24" s="5">
        <f>C24*$B$10</f>
        <v/>
      </c>
      <c r="E24" s="5">
        <f>C24*Premissas!$C$27</f>
        <v/>
      </c>
      <c r="F24" s="5">
        <f>C24*(Premissas!$C$29-$B$7)</f>
        <v/>
      </c>
    </row>
    <row r="25">
      <c r="A25" s="18" t="inlineStr">
        <is>
          <t>Total 3 anos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  <c r="F25" s="19">
        <f>SUM(F13:F24)</f>
        <v/>
      </c>
    </row>
    <row r="26">
      <c r="A26" s="4" t="inlineStr">
        <is>
          <t>Ano 1</t>
        </is>
      </c>
      <c r="D26" s="11">
        <f>SUM(D13:D16)</f>
        <v/>
      </c>
    </row>
    <row r="27">
      <c r="A27" s="4" t="inlineStr">
        <is>
          <t>Ano 2</t>
        </is>
      </c>
      <c r="D27" s="11">
        <f>SUM(D17:D20)</f>
        <v/>
      </c>
    </row>
    <row r="28">
      <c r="A28" s="4" t="inlineStr">
        <is>
          <t>Ano 3</t>
        </is>
      </c>
      <c r="D28" s="11">
        <f>SUM(D21:D24)</f>
        <v/>
      </c>
    </row>
    <row r="30">
      <c r="A30" s="7" t="inlineStr">
        <is>
          <t>Tendencial</t>
        </is>
      </c>
    </row>
    <row r="31">
      <c r="A31" s="3" t="inlineStr">
        <is>
          <t>Parametro</t>
        </is>
      </c>
      <c r="B31" s="3" t="inlineStr">
        <is>
          <t>Valor</t>
        </is>
      </c>
    </row>
    <row r="32">
      <c r="A32" s="8" t="inlineStr">
        <is>
          <t>Adesao da turma</t>
        </is>
      </c>
      <c r="B32" s="15">
        <f>Premissas!$C$12</f>
        <v/>
      </c>
    </row>
    <row r="33">
      <c r="A33" s="8" t="inlineStr">
        <is>
          <t>Taxa de servico (R$)</t>
        </is>
      </c>
      <c r="B33" s="11">
        <f>Premissas!$C$19</f>
        <v/>
      </c>
    </row>
    <row r="34">
      <c r="A34" s="8" t="inlineStr">
        <is>
          <t>Comissao media sobre o ticket</t>
        </is>
      </c>
      <c r="B34" s="15">
        <f>Premissas!$C$32</f>
        <v/>
      </c>
    </row>
    <row r="35">
      <c r="A35" s="8" t="inlineStr">
        <is>
          <t>Viagens por turma/trimestre</t>
        </is>
      </c>
      <c r="B35" s="11">
        <f>Premissas!$C$9*B32*(Premissas!$C$10/Premissas!$C$11)*3</f>
        <v/>
      </c>
    </row>
    <row r="36">
      <c r="A36" s="8" t="inlineStr">
        <is>
          <t>Receita por viagem (R$)</t>
        </is>
      </c>
      <c r="B36" s="16">
        <f>B33+Premissas!$C$27*B34</f>
        <v/>
      </c>
    </row>
    <row r="38">
      <c r="A38" s="3" t="inlineStr">
        <is>
          <t>Trimestre</t>
        </is>
      </c>
      <c r="B38" s="3" t="inlineStr">
        <is>
          <t>Turmas ativas</t>
        </is>
      </c>
      <c r="C38" s="3" t="inlineStr">
        <is>
          <t>Viagens</t>
        </is>
      </c>
      <c r="D38" s="3" t="inlineStr">
        <is>
          <t>Receita (R$)</t>
        </is>
      </c>
      <c r="E38" s="3" t="inlineStr">
        <is>
          <t>GMV (R$)</t>
        </is>
      </c>
      <c r="F38" s="3" t="inlineStr">
        <is>
          <t>Economia dos alunos (R$)</t>
        </is>
      </c>
    </row>
    <row r="39">
      <c r="A39" s="4" t="inlineStr">
        <is>
          <t>T1</t>
        </is>
      </c>
      <c r="B39" s="17" t="n">
        <v>1</v>
      </c>
      <c r="C39" s="5">
        <f>B39*$B$35</f>
        <v/>
      </c>
      <c r="D39" s="5">
        <f>C39*$B$36</f>
        <v/>
      </c>
      <c r="E39" s="5">
        <f>C39*Premissas!$C$27</f>
        <v/>
      </c>
      <c r="F39" s="5">
        <f>C39*(Premissas!$C$29-$B$33)</f>
        <v/>
      </c>
    </row>
    <row r="40">
      <c r="A40" s="4" t="inlineStr">
        <is>
          <t>T2</t>
        </is>
      </c>
      <c r="B40" s="17" t="n">
        <v>2</v>
      </c>
      <c r="C40" s="5">
        <f>B40*$B$35</f>
        <v/>
      </c>
      <c r="D40" s="5">
        <f>C40*$B$36</f>
        <v/>
      </c>
      <c r="E40" s="5">
        <f>C40*Premissas!$C$27</f>
        <v/>
      </c>
      <c r="F40" s="5">
        <f>C40*(Premissas!$C$29-$B$33)</f>
        <v/>
      </c>
    </row>
    <row r="41">
      <c r="A41" s="4" t="inlineStr">
        <is>
          <t>T3</t>
        </is>
      </c>
      <c r="B41" s="17" t="n">
        <v>4</v>
      </c>
      <c r="C41" s="5">
        <f>B41*$B$35</f>
        <v/>
      </c>
      <c r="D41" s="5">
        <f>C41*$B$36</f>
        <v/>
      </c>
      <c r="E41" s="5">
        <f>C41*Premissas!$C$27</f>
        <v/>
      </c>
      <c r="F41" s="5">
        <f>C41*(Premissas!$C$29-$B$33)</f>
        <v/>
      </c>
    </row>
    <row r="42">
      <c r="A42" s="4" t="inlineStr">
        <is>
          <t>T4</t>
        </is>
      </c>
      <c r="B42" s="17" t="n">
        <v>6</v>
      </c>
      <c r="C42" s="5">
        <f>B42*$B$35</f>
        <v/>
      </c>
      <c r="D42" s="5">
        <f>C42*$B$36</f>
        <v/>
      </c>
      <c r="E42" s="5">
        <f>C42*Premissas!$C$27</f>
        <v/>
      </c>
      <c r="F42" s="5">
        <f>C42*(Premissas!$C$29-$B$33)</f>
        <v/>
      </c>
    </row>
    <row r="43">
      <c r="A43" s="4" t="inlineStr">
        <is>
          <t>T5</t>
        </is>
      </c>
      <c r="B43" s="17" t="n">
        <v>9</v>
      </c>
      <c r="C43" s="5">
        <f>B43*$B$35</f>
        <v/>
      </c>
      <c r="D43" s="5">
        <f>C43*$B$36</f>
        <v/>
      </c>
      <c r="E43" s="5">
        <f>C43*Premissas!$C$27</f>
        <v/>
      </c>
      <c r="F43" s="5">
        <f>C43*(Premissas!$C$29-$B$33)</f>
        <v/>
      </c>
    </row>
    <row r="44">
      <c r="A44" s="4" t="inlineStr">
        <is>
          <t>T6</t>
        </is>
      </c>
      <c r="B44" s="17" t="n">
        <v>12</v>
      </c>
      <c r="C44" s="5">
        <f>B44*$B$35</f>
        <v/>
      </c>
      <c r="D44" s="5">
        <f>C44*$B$36</f>
        <v/>
      </c>
      <c r="E44" s="5">
        <f>C44*Premissas!$C$27</f>
        <v/>
      </c>
      <c r="F44" s="5">
        <f>C44*(Premissas!$C$29-$B$33)</f>
        <v/>
      </c>
    </row>
    <row r="45">
      <c r="A45" s="4" t="inlineStr">
        <is>
          <t>T7</t>
        </is>
      </c>
      <c r="B45" s="17" t="n">
        <v>16</v>
      </c>
      <c r="C45" s="5">
        <f>B45*$B$35</f>
        <v/>
      </c>
      <c r="D45" s="5">
        <f>C45*$B$36</f>
        <v/>
      </c>
      <c r="E45" s="5">
        <f>C45*Premissas!$C$27</f>
        <v/>
      </c>
      <c r="F45" s="5">
        <f>C45*(Premissas!$C$29-$B$33)</f>
        <v/>
      </c>
    </row>
    <row r="46">
      <c r="A46" s="4" t="inlineStr">
        <is>
          <t>T8</t>
        </is>
      </c>
      <c r="B46" s="17" t="n">
        <v>20</v>
      </c>
      <c r="C46" s="5">
        <f>B46*$B$35</f>
        <v/>
      </c>
      <c r="D46" s="5">
        <f>C46*$B$36</f>
        <v/>
      </c>
      <c r="E46" s="5">
        <f>C46*Premissas!$C$27</f>
        <v/>
      </c>
      <c r="F46" s="5">
        <f>C46*(Premissas!$C$29-$B$33)</f>
        <v/>
      </c>
    </row>
    <row r="47">
      <c r="A47" s="4" t="inlineStr">
        <is>
          <t>T9</t>
        </is>
      </c>
      <c r="B47" s="17" t="n">
        <v>25</v>
      </c>
      <c r="C47" s="5">
        <f>B47*$B$35</f>
        <v/>
      </c>
      <c r="D47" s="5">
        <f>C47*$B$36</f>
        <v/>
      </c>
      <c r="E47" s="5">
        <f>C47*Premissas!$C$27</f>
        <v/>
      </c>
      <c r="F47" s="5">
        <f>C47*(Premissas!$C$29-$B$33)</f>
        <v/>
      </c>
    </row>
    <row r="48">
      <c r="A48" s="4" t="inlineStr">
        <is>
          <t>T10</t>
        </is>
      </c>
      <c r="B48" s="17" t="n">
        <v>30</v>
      </c>
      <c r="C48" s="5">
        <f>B48*$B$35</f>
        <v/>
      </c>
      <c r="D48" s="5">
        <f>C48*$B$36</f>
        <v/>
      </c>
      <c r="E48" s="5">
        <f>C48*Premissas!$C$27</f>
        <v/>
      </c>
      <c r="F48" s="5">
        <f>C48*(Premissas!$C$29-$B$33)</f>
        <v/>
      </c>
    </row>
    <row r="49">
      <c r="A49" s="4" t="inlineStr">
        <is>
          <t>T11</t>
        </is>
      </c>
      <c r="B49" s="17" t="n">
        <v>36</v>
      </c>
      <c r="C49" s="5">
        <f>B49*$B$35</f>
        <v/>
      </c>
      <c r="D49" s="5">
        <f>C49*$B$36</f>
        <v/>
      </c>
      <c r="E49" s="5">
        <f>C49*Premissas!$C$27</f>
        <v/>
      </c>
      <c r="F49" s="5">
        <f>C49*(Premissas!$C$29-$B$33)</f>
        <v/>
      </c>
    </row>
    <row r="50">
      <c r="A50" s="4" t="inlineStr">
        <is>
          <t>T12</t>
        </is>
      </c>
      <c r="B50" s="17" t="n">
        <v>42</v>
      </c>
      <c r="C50" s="5">
        <f>B50*$B$35</f>
        <v/>
      </c>
      <c r="D50" s="5">
        <f>C50*$B$36</f>
        <v/>
      </c>
      <c r="E50" s="5">
        <f>C50*Premissas!$C$27</f>
        <v/>
      </c>
      <c r="F50" s="5">
        <f>C50*(Premissas!$C$29-$B$33)</f>
        <v/>
      </c>
    </row>
    <row r="51">
      <c r="A51" s="18" t="inlineStr">
        <is>
          <t>Total 3 anos</t>
        </is>
      </c>
      <c r="B51" s="19">
        <f>SUM(B39:B50)</f>
        <v/>
      </c>
      <c r="C51" s="19">
        <f>SUM(C39:C50)</f>
        <v/>
      </c>
      <c r="D51" s="19">
        <f>SUM(D39:D50)</f>
        <v/>
      </c>
      <c r="E51" s="19">
        <f>SUM(E39:E50)</f>
        <v/>
      </c>
      <c r="F51" s="19">
        <f>SUM(F39:F50)</f>
        <v/>
      </c>
    </row>
    <row r="52">
      <c r="A52" s="4" t="inlineStr">
        <is>
          <t>Ano 1</t>
        </is>
      </c>
      <c r="D52" s="11">
        <f>SUM(D39:D42)</f>
        <v/>
      </c>
    </row>
    <row r="53">
      <c r="A53" s="4" t="inlineStr">
        <is>
          <t>Ano 2</t>
        </is>
      </c>
      <c r="D53" s="11">
        <f>SUM(D43:D46)</f>
        <v/>
      </c>
    </row>
    <row r="54">
      <c r="A54" s="4" t="inlineStr">
        <is>
          <t>Ano 3</t>
        </is>
      </c>
      <c r="D54" s="11">
        <f>SUM(D47:D50)</f>
        <v/>
      </c>
    </row>
    <row r="56">
      <c r="A56" s="7" t="inlineStr">
        <is>
          <t>Otimista</t>
        </is>
      </c>
    </row>
    <row r="57">
      <c r="A57" s="3" t="inlineStr">
        <is>
          <t>Parametro</t>
        </is>
      </c>
      <c r="B57" s="3" t="inlineStr">
        <is>
          <t>Valor</t>
        </is>
      </c>
    </row>
    <row r="58">
      <c r="A58" s="8" t="inlineStr">
        <is>
          <t>Adesao da turma</t>
        </is>
      </c>
      <c r="B58" s="13" t="n">
        <v>0.7</v>
      </c>
    </row>
    <row r="59">
      <c r="A59" s="8" t="inlineStr">
        <is>
          <t>Taxa de servico (R$)</t>
        </is>
      </c>
      <c r="B59" s="6" t="n">
        <v>150</v>
      </c>
    </row>
    <row r="60">
      <c r="A60" s="8" t="inlineStr">
        <is>
          <t>Comissao media sobre o ticket</t>
        </is>
      </c>
      <c r="B60" s="13" t="n">
        <v>0.08</v>
      </c>
    </row>
    <row r="61">
      <c r="A61" s="8" t="inlineStr">
        <is>
          <t>Viagens por turma/trimestre</t>
        </is>
      </c>
      <c r="B61" s="11">
        <f>Premissas!$C$9*B58*(Premissas!$C$10/Premissas!$C$11)*3</f>
        <v/>
      </c>
    </row>
    <row r="62">
      <c r="A62" s="8" t="inlineStr">
        <is>
          <t>Receita por viagem (R$)</t>
        </is>
      </c>
      <c r="B62" s="16">
        <f>B59+Premissas!$C$27*B60</f>
        <v/>
      </c>
    </row>
    <row r="64">
      <c r="A64" s="3" t="inlineStr">
        <is>
          <t>Trimestre</t>
        </is>
      </c>
      <c r="B64" s="3" t="inlineStr">
        <is>
          <t>Turmas ativas</t>
        </is>
      </c>
      <c r="C64" s="3" t="inlineStr">
        <is>
          <t>Viagens</t>
        </is>
      </c>
      <c r="D64" s="3" t="inlineStr">
        <is>
          <t>Receita (R$)</t>
        </is>
      </c>
      <c r="E64" s="3" t="inlineStr">
        <is>
          <t>GMV (R$)</t>
        </is>
      </c>
      <c r="F64" s="3" t="inlineStr">
        <is>
          <t>Economia dos alunos (R$)</t>
        </is>
      </c>
    </row>
    <row r="65">
      <c r="A65" s="4" t="inlineStr">
        <is>
          <t>T1</t>
        </is>
      </c>
      <c r="B65" s="17" t="n">
        <v>2</v>
      </c>
      <c r="C65" s="5">
        <f>B65*$B$61</f>
        <v/>
      </c>
      <c r="D65" s="5">
        <f>C65*$B$62</f>
        <v/>
      </c>
      <c r="E65" s="5">
        <f>C65*Premissas!$C$27</f>
        <v/>
      </c>
      <c r="F65" s="5">
        <f>C65*(Premissas!$C$29-$B$59)</f>
        <v/>
      </c>
    </row>
    <row r="66">
      <c r="A66" s="4" t="inlineStr">
        <is>
          <t>T2</t>
        </is>
      </c>
      <c r="B66" s="17" t="n">
        <v>4</v>
      </c>
      <c r="C66" s="5">
        <f>B66*$B$61</f>
        <v/>
      </c>
      <c r="D66" s="5">
        <f>C66*$B$62</f>
        <v/>
      </c>
      <c r="E66" s="5">
        <f>C66*Premissas!$C$27</f>
        <v/>
      </c>
      <c r="F66" s="5">
        <f>C66*(Premissas!$C$29-$B$59)</f>
        <v/>
      </c>
    </row>
    <row r="67">
      <c r="A67" s="4" t="inlineStr">
        <is>
          <t>T3</t>
        </is>
      </c>
      <c r="B67" s="17" t="n">
        <v>7</v>
      </c>
      <c r="C67" s="5">
        <f>B67*$B$61</f>
        <v/>
      </c>
      <c r="D67" s="5">
        <f>C67*$B$62</f>
        <v/>
      </c>
      <c r="E67" s="5">
        <f>C67*Premissas!$C$27</f>
        <v/>
      </c>
      <c r="F67" s="5">
        <f>C67*(Premissas!$C$29-$B$59)</f>
        <v/>
      </c>
    </row>
    <row r="68">
      <c r="A68" s="4" t="inlineStr">
        <is>
          <t>T4</t>
        </is>
      </c>
      <c r="B68" s="17" t="n">
        <v>10</v>
      </c>
      <c r="C68" s="5">
        <f>B68*$B$61</f>
        <v/>
      </c>
      <c r="D68" s="5">
        <f>C68*$B$62</f>
        <v/>
      </c>
      <c r="E68" s="5">
        <f>C68*Premissas!$C$27</f>
        <v/>
      </c>
      <c r="F68" s="5">
        <f>C68*(Premissas!$C$29-$B$59)</f>
        <v/>
      </c>
    </row>
    <row r="69">
      <c r="A69" s="4" t="inlineStr">
        <is>
          <t>T5</t>
        </is>
      </c>
      <c r="B69" s="17" t="n">
        <v>15</v>
      </c>
      <c r="C69" s="5">
        <f>B69*$B$61</f>
        <v/>
      </c>
      <c r="D69" s="5">
        <f>C69*$B$62</f>
        <v/>
      </c>
      <c r="E69" s="5">
        <f>C69*Premissas!$C$27</f>
        <v/>
      </c>
      <c r="F69" s="5">
        <f>C69*(Premissas!$C$29-$B$59)</f>
        <v/>
      </c>
    </row>
    <row r="70">
      <c r="A70" s="4" t="inlineStr">
        <is>
          <t>T6</t>
        </is>
      </c>
      <c r="B70" s="17" t="n">
        <v>21</v>
      </c>
      <c r="C70" s="5">
        <f>B70*$B$61</f>
        <v/>
      </c>
      <c r="D70" s="5">
        <f>C70*$B$62</f>
        <v/>
      </c>
      <c r="E70" s="5">
        <f>C70*Premissas!$C$27</f>
        <v/>
      </c>
      <c r="F70" s="5">
        <f>C70*(Premissas!$C$29-$B$59)</f>
        <v/>
      </c>
    </row>
    <row r="71">
      <c r="A71" s="4" t="inlineStr">
        <is>
          <t>T7</t>
        </is>
      </c>
      <c r="B71" s="17" t="n">
        <v>28</v>
      </c>
      <c r="C71" s="5">
        <f>B71*$B$61</f>
        <v/>
      </c>
      <c r="D71" s="5">
        <f>C71*$B$62</f>
        <v/>
      </c>
      <c r="E71" s="5">
        <f>C71*Premissas!$C$27</f>
        <v/>
      </c>
      <c r="F71" s="5">
        <f>C71*(Premissas!$C$29-$B$59)</f>
        <v/>
      </c>
    </row>
    <row r="72">
      <c r="A72" s="4" t="inlineStr">
        <is>
          <t>T8</t>
        </is>
      </c>
      <c r="B72" s="17" t="n">
        <v>36</v>
      </c>
      <c r="C72" s="5">
        <f>B72*$B$61</f>
        <v/>
      </c>
      <c r="D72" s="5">
        <f>C72*$B$62</f>
        <v/>
      </c>
      <c r="E72" s="5">
        <f>C72*Premissas!$C$27</f>
        <v/>
      </c>
      <c r="F72" s="5">
        <f>C72*(Premissas!$C$29-$B$59)</f>
        <v/>
      </c>
    </row>
    <row r="73">
      <c r="A73" s="4" t="inlineStr">
        <is>
          <t>T9</t>
        </is>
      </c>
      <c r="B73" s="17" t="n">
        <v>44</v>
      </c>
      <c r="C73" s="5">
        <f>B73*$B$61</f>
        <v/>
      </c>
      <c r="D73" s="5">
        <f>C73*$B$62</f>
        <v/>
      </c>
      <c r="E73" s="5">
        <f>C73*Premissas!$C$27</f>
        <v/>
      </c>
      <c r="F73" s="5">
        <f>C73*(Premissas!$C$29-$B$59)</f>
        <v/>
      </c>
    </row>
    <row r="74">
      <c r="A74" s="4" t="inlineStr">
        <is>
          <t>T10</t>
        </is>
      </c>
      <c r="B74" s="17" t="n">
        <v>50</v>
      </c>
      <c r="C74" s="5">
        <f>B74*$B$61</f>
        <v/>
      </c>
      <c r="D74" s="5">
        <f>C74*$B$62</f>
        <v/>
      </c>
      <c r="E74" s="5">
        <f>C74*Premissas!$C$27</f>
        <v/>
      </c>
      <c r="F74" s="5">
        <f>C74*(Premissas!$C$29-$B$59)</f>
        <v/>
      </c>
    </row>
    <row r="75">
      <c r="A75" s="4" t="inlineStr">
        <is>
          <t>T11</t>
        </is>
      </c>
      <c r="B75" s="17" t="n">
        <v>55</v>
      </c>
      <c r="C75" s="5">
        <f>B75*$B$61</f>
        <v/>
      </c>
      <c r="D75" s="5">
        <f>C75*$B$62</f>
        <v/>
      </c>
      <c r="E75" s="5">
        <f>C75*Premissas!$C$27</f>
        <v/>
      </c>
      <c r="F75" s="5">
        <f>C75*(Premissas!$C$29-$B$59)</f>
        <v/>
      </c>
    </row>
    <row r="76">
      <c r="A76" s="4" t="inlineStr">
        <is>
          <t>T12</t>
        </is>
      </c>
      <c r="B76" s="17" t="n">
        <v>60</v>
      </c>
      <c r="C76" s="5">
        <f>B76*$B$61</f>
        <v/>
      </c>
      <c r="D76" s="5">
        <f>C76*$B$62</f>
        <v/>
      </c>
      <c r="E76" s="5">
        <f>C76*Premissas!$C$27</f>
        <v/>
      </c>
      <c r="F76" s="5">
        <f>C76*(Premissas!$C$29-$B$59)</f>
        <v/>
      </c>
    </row>
    <row r="77">
      <c r="A77" s="18" t="inlineStr">
        <is>
          <t>Total 3 anos</t>
        </is>
      </c>
      <c r="B77" s="19">
        <f>SUM(B65:B76)</f>
        <v/>
      </c>
      <c r="C77" s="19">
        <f>SUM(C65:C76)</f>
        <v/>
      </c>
      <c r="D77" s="19">
        <f>SUM(D65:D76)</f>
        <v/>
      </c>
      <c r="E77" s="19">
        <f>SUM(E65:E76)</f>
        <v/>
      </c>
      <c r="F77" s="19">
        <f>SUM(F65:F76)</f>
        <v/>
      </c>
    </row>
    <row r="78">
      <c r="A78" s="4" t="inlineStr">
        <is>
          <t>Ano 1</t>
        </is>
      </c>
      <c r="D78" s="11">
        <f>SUM(D65:D68)</f>
        <v/>
      </c>
    </row>
    <row r="79">
      <c r="A79" s="4" t="inlineStr">
        <is>
          <t>Ano 2</t>
        </is>
      </c>
      <c r="D79" s="11">
        <f>SUM(D69:D72)</f>
        <v/>
      </c>
    </row>
    <row r="80">
      <c r="A80" s="4" t="inlineStr">
        <is>
          <t>Ano 3</t>
        </is>
      </c>
      <c r="D80" s="11">
        <f>SUM(D73:D76)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5" customWidth="1" min="5" max="5"/>
    <col width="15" customWidth="1" min="6" max="6"/>
  </cols>
  <sheetData>
    <row r="1">
      <c r="A1" s="1" t="inlineStr">
        <is>
          <t>Analise de sensibilidade - uma variavel por vez</t>
        </is>
      </c>
    </row>
    <row r="2">
      <c r="A2" s="2" t="inlineStr">
        <is>
          <t>Cada linha move uma unica variavel; as demais permanecem no cenario tendencial.</t>
        </is>
      </c>
    </row>
    <row r="4">
      <c r="A4" s="3" t="inlineStr">
        <is>
          <t>Variavel</t>
        </is>
      </c>
      <c r="B4" s="3" t="inlineStr">
        <is>
          <t>Baixo</t>
        </is>
      </c>
      <c r="C4" s="3" t="inlineStr">
        <is>
          <t>Base</t>
        </is>
      </c>
      <c r="D4" s="3" t="inlineStr">
        <is>
          <t>Alto</t>
        </is>
      </c>
      <c r="E4" s="3" t="inlineStr">
        <is>
          <t>Impacto baixo</t>
        </is>
      </c>
      <c r="F4" s="3" t="inlineStr">
        <is>
          <t>Impacto alto</t>
        </is>
      </c>
    </row>
    <row r="5">
      <c r="A5" s="4" t="inlineStr">
        <is>
          <t>Ritmo de contratacao de turmas (-30% / +30%)</t>
        </is>
      </c>
      <c r="B5" s="5">
        <f>Cenarios!$D$51*0.7</f>
        <v/>
      </c>
      <c r="C5" s="5">
        <f>Cenarios!$D$51</f>
        <v/>
      </c>
      <c r="D5" s="5">
        <f>Cenarios!$D$51*1.3</f>
        <v/>
      </c>
      <c r="E5" s="20">
        <f>B5/C5-1</f>
        <v/>
      </c>
      <c r="F5" s="20">
        <f>D5/C5-1</f>
        <v/>
      </c>
    </row>
    <row r="6">
      <c r="A6" s="8" t="inlineStr">
        <is>
          <t>Taxa de servico (R$ 50 / R$ 150)</t>
        </is>
      </c>
      <c r="B6" s="5">
        <f>Cenarios!$C$51*(50+Premissas!$C$31)</f>
        <v/>
      </c>
      <c r="C6" s="5">
        <f>Cenarios!$D$51</f>
        <v/>
      </c>
      <c r="D6" s="5">
        <f>Cenarios!$C$51*(150+Premissas!$C$31)</f>
        <v/>
      </c>
      <c r="E6" s="21">
        <f>B6/C6-1</f>
        <v/>
      </c>
      <c r="F6" s="21">
        <f>D6/C6-1</f>
        <v/>
      </c>
    </row>
    <row r="7">
      <c r="A7" s="8" t="inlineStr">
        <is>
          <t>Comissao sobre bloqueio (4% / 9%)</t>
        </is>
      </c>
      <c r="B7" s="5">
        <f>Cenarios!$C$51*(Premissas!$C$19+Premissas!$C$27*0.04)</f>
        <v/>
      </c>
      <c r="C7" s="5">
        <f>Cenarios!$D$51</f>
        <v/>
      </c>
      <c r="D7" s="5">
        <f>Cenarios!$C$51*(Premissas!$C$19+Premissas!$C$27*0.09)</f>
        <v/>
      </c>
      <c r="E7" s="21">
        <f>B7/C7-1</f>
        <v/>
      </c>
      <c r="F7" s="21">
        <f>D7/C7-1</f>
        <v/>
      </c>
    </row>
    <row r="8">
      <c r="A8" s="8" t="inlineStr">
        <is>
          <t>Adesao da turma (50% / 70%)</t>
        </is>
      </c>
      <c r="B8" s="5">
        <f>Cenarios!$D$51*(0.5/0.6)</f>
        <v/>
      </c>
      <c r="C8" s="5">
        <f>Cenarios!$D$51</f>
        <v/>
      </c>
      <c r="D8" s="5">
        <f>Cenarios!$D$51*(0.7/0.6)</f>
        <v/>
      </c>
      <c r="E8" s="21">
        <f>B8/C8-1</f>
        <v/>
      </c>
      <c r="F8" s="21">
        <f>D8/C8-1</f>
        <v/>
      </c>
    </row>
    <row r="11">
      <c r="A11" s="22" t="inlineStr">
        <is>
          <t>A variavel critica e o ritmo de contratacao de turmas, nao a adesao.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2026-07-28T18:21:48Z</dcterms:created>
  <dcterms:modified xmlns:dcterms="http://purl.org/dc/terms/" xmlns:xsi="http://www.w3.org/2001/XMLSchema-instance" xsi:type="dcterms:W3CDTF">2026-07-28T18:21:49Z</dcterms:modified>
</cp:coreProperties>
</file>