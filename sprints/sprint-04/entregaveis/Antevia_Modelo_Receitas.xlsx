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Premissas" sheetId="2" state="visible" r:id="rId2"/>
    <sheet xmlns:r="http://schemas.openxmlformats.org/officeDocument/2006/relationships" name="Cenari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&quot;x&quot;"/>
  </numFmts>
  <fonts count="8">
    <font>
      <name val="Calibri"/>
      <family val="2"/>
      <color theme="1"/>
      <sz val="11"/>
      <scheme val="minor"/>
    </font>
    <font>
      <name val="Calibri"/>
      <b val="1"/>
      <color rgb="000B1220"/>
      <sz val="14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0B1220"/>
      <sz val="10"/>
    </font>
    <font>
      <name val="Calibri"/>
      <color rgb="000B1220"/>
      <sz val="10"/>
    </font>
    <font>
      <name val="Calibri"/>
      <b val="1"/>
      <color rgb="00B85042"/>
      <sz val="10"/>
    </font>
    <font>
      <name val="Calibri"/>
      <b val="1"/>
      <color rgb="000B1220"/>
      <sz val="12"/>
    </font>
  </fonts>
  <fills count="5">
    <fill>
      <patternFill/>
    </fill>
    <fill>
      <patternFill patternType="gray125"/>
    </fill>
    <fill>
      <patternFill patternType="solid">
        <fgColor rgb="001B2435"/>
      </patternFill>
    </fill>
    <fill>
      <patternFill patternType="solid">
        <fgColor rgb="00FDF1CB"/>
      </patternFill>
    </fill>
    <fill>
      <patternFill patternType="solid">
        <fgColor rgb="00E6E8F0"/>
      </patternFill>
    </fill>
  </fills>
  <borders count="2">
    <border>
      <left/>
      <right/>
      <top/>
      <bottom/>
      <diagonal/>
    </border>
    <border>
      <left style="thin">
        <color rgb="00E3E6EC"/>
      </left>
      <right style="thin">
        <color rgb="00E3E6EC"/>
      </right>
      <top style="thin">
        <color rgb="00E3E6EC"/>
      </top>
      <bottom style="thin">
        <color rgb="00E3E6EC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3" fontId="5" fillId="0" borderId="1" pivotButton="0" quotePrefix="0" xfId="0"/>
    <xf numFmtId="3" fontId="4" fillId="3" borderId="1" pivotButton="0" quotePrefix="0" xfId="0"/>
    <xf numFmtId="0" fontId="7" fillId="0" borderId="0" pivotButton="0" quotePrefix="0" xfId="0"/>
    <xf numFmtId="0" fontId="5" fillId="0" borderId="1" pivotButton="0" quotePrefix="0" xfId="0"/>
    <xf numFmtId="3" fontId="4" fillId="0" borderId="1" pivotButton="0" quotePrefix="0" xfId="0"/>
    <xf numFmtId="165" fontId="5" fillId="0" borderId="1" pivotButton="0" quotePrefix="0" xfId="0"/>
    <xf numFmtId="164" fontId="5" fillId="0" borderId="1" pivotButton="0" quotePrefix="0" xfId="0"/>
    <xf numFmtId="4" fontId="4" fillId="0" borderId="1" pivotButton="0" quotePrefix="0" xfId="0"/>
    <xf numFmtId="164" fontId="4" fillId="0" borderId="1" pivotButton="0" quotePrefix="0" xfId="0"/>
    <xf numFmtId="0" fontId="6" fillId="0" borderId="0" pivotButton="0" quotePrefix="0" xfId="0"/>
    <xf numFmtId="164" fontId="4" fillId="3" borderId="1" pivotButton="0" quotePrefix="0" xfId="0"/>
    <xf numFmtId="0" fontId="6" fillId="0" borderId="1" pivotButton="0" quotePrefix="0" xfId="0"/>
    <xf numFmtId="3" fontId="4" fillId="4" borderId="1" pivotButton="0" quotePrefix="0" xfId="0"/>
    <xf numFmtId="165" fontId="4" fillId="4" borderId="1" pivotButton="0" quotePrefix="0" xfId="0"/>
    <xf numFmtId="4" fontId="4" fillId="4" borderId="1" pivotButton="0" quotePrefix="0" xfId="0"/>
    <xf numFmtId="2" fontId="4" fillId="4" borderId="1" pivotButton="0" quotePrefix="0" xfId="0"/>
    <xf numFmtId="3" fontId="5" fillId="3" borderId="1" pivotButton="0" quotePrefix="0" xfId="0"/>
    <xf numFmtId="0" fontId="3" fillId="2" borderId="1" pivotButton="0" quotePrefix="0" xfId="0"/>
    <xf numFmtId="0" fontId="5" fillId="2" borderId="1" pivotButton="0" quotePrefix="0" xfId="0"/>
    <xf numFmtId="3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6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Antevia - Projecao de receitas (v3) - resumo</t>
        </is>
      </c>
    </row>
    <row r="2">
      <c r="A2" s="2" t="inlineStr">
        <is>
          <t>Unidade do modelo: alunos captados. Meta do ano 1 = 100 alunos, somando todas as turmas e instituicoes.</t>
        </is>
      </c>
    </row>
    <row r="4">
      <c r="A4" s="3" t="inlineStr">
        <is>
          <t>Cenario</t>
        </is>
      </c>
      <c r="B4" s="3" t="inlineStr">
        <is>
          <t>Ano 1</t>
        </is>
      </c>
      <c r="C4" s="3" t="inlineStr">
        <is>
          <t>Ano 2</t>
        </is>
      </c>
      <c r="D4" s="3" t="inlineStr">
        <is>
          <t>Ano 3</t>
        </is>
      </c>
      <c r="E4" s="3" t="inlineStr">
        <is>
          <t>Total 3 anos</t>
        </is>
      </c>
      <c r="F4" s="3" t="inlineStr">
        <is>
          <t>Viagens</t>
        </is>
      </c>
      <c r="G4" s="3" t="inlineStr">
        <is>
          <t>GMV</t>
        </is>
      </c>
      <c r="H4" s="3" t="inlineStr">
        <is>
          <t>Economia alunos</t>
        </is>
      </c>
    </row>
    <row r="5">
      <c r="A5" s="4" t="inlineStr">
        <is>
          <t>Pessimista</t>
        </is>
      </c>
      <c r="B5" s="5">
        <f>Cenarios!E19</f>
        <v/>
      </c>
      <c r="C5" s="5">
        <f>Cenarios!E20</f>
        <v/>
      </c>
      <c r="D5" s="5">
        <f>Cenarios!E21</f>
        <v/>
      </c>
      <c r="E5" s="6">
        <f>Cenarios!E18</f>
        <v/>
      </c>
      <c r="F5" s="5">
        <f>Cenarios!D18</f>
        <v/>
      </c>
      <c r="G5" s="5">
        <f>Cenarios!F18</f>
        <v/>
      </c>
      <c r="H5" s="5">
        <f>Cenarios!G18</f>
        <v/>
      </c>
    </row>
    <row r="6">
      <c r="A6" s="4" t="inlineStr">
        <is>
          <t>Tendencial</t>
        </is>
      </c>
      <c r="B6" s="5">
        <f>Cenarios!E38</f>
        <v/>
      </c>
      <c r="C6" s="5">
        <f>Cenarios!E39</f>
        <v/>
      </c>
      <c r="D6" s="5">
        <f>Cenarios!E40</f>
        <v/>
      </c>
      <c r="E6" s="6">
        <f>Cenarios!E37</f>
        <v/>
      </c>
      <c r="F6" s="5">
        <f>Cenarios!D37</f>
        <v/>
      </c>
      <c r="G6" s="5">
        <f>Cenarios!F37</f>
        <v/>
      </c>
      <c r="H6" s="5">
        <f>Cenarios!G37</f>
        <v/>
      </c>
    </row>
    <row r="7">
      <c r="A7" s="4" t="inlineStr">
        <is>
          <t>Otimista</t>
        </is>
      </c>
      <c r="B7" s="5">
        <f>Cenarios!E57</f>
        <v/>
      </c>
      <c r="C7" s="5">
        <f>Cenarios!E58</f>
        <v/>
      </c>
      <c r="D7" s="5">
        <f>Cenarios!E59</f>
        <v/>
      </c>
      <c r="E7" s="6">
        <f>Cenarios!E56</f>
        <v/>
      </c>
      <c r="F7" s="5">
        <f>Cenarios!D56</f>
        <v/>
      </c>
      <c r="G7" s="5">
        <f>Cenarios!F56</f>
        <v/>
      </c>
      <c r="H7" s="5">
        <f>Cenarios!G56</f>
        <v/>
      </c>
    </row>
    <row r="10">
      <c r="A10" s="7" t="inlineStr">
        <is>
          <t>As tres fases de poder de negociacao</t>
        </is>
      </c>
    </row>
    <row r="11">
      <c r="A11" s="3" t="inlineStr">
        <is>
          <t>Fase</t>
        </is>
      </c>
      <c r="B11" s="3" t="inlineStr">
        <is>
          <t>Como compramos</t>
        </is>
      </c>
      <c r="C11" s="3" t="inlineStr">
        <is>
          <t>Ticket</t>
        </is>
      </c>
      <c r="D11" s="3" t="inlineStr">
        <is>
          <t>Economia liquida</t>
        </is>
      </c>
      <c r="E11" s="3" t="inlineStr">
        <is>
          <t>Retorno</t>
        </is>
      </c>
      <c r="F11" s="3" t="inlineStr">
        <is>
          <t>Comissao</t>
        </is>
      </c>
      <c r="G11" s="3" t="inlineStr">
        <is>
          <t>R$/viagem</t>
        </is>
      </c>
    </row>
    <row r="12">
      <c r="A12" s="4" t="inlineStr">
        <is>
          <t>Fase 1</t>
        </is>
      </c>
      <c r="B12" s="8" t="inlineStr">
        <is>
          <t>Apoio da consolidadora - so antecipacao</t>
        </is>
      </c>
      <c r="C12" s="5">
        <f>Premissas!C24</f>
        <v/>
      </c>
      <c r="D12" s="9">
        <f>Premissas!C26</f>
        <v/>
      </c>
      <c r="E12" s="10">
        <f>Premissas!C27</f>
        <v/>
      </c>
      <c r="F12" s="11">
        <f>Premissas!C20</f>
        <v/>
      </c>
      <c r="G12" s="12">
        <f>Premissas!C29</f>
        <v/>
      </c>
    </row>
    <row r="13">
      <c r="A13" s="4" t="inlineStr">
        <is>
          <t>Fase 2</t>
        </is>
      </c>
      <c r="B13" s="8" t="inlineStr">
        <is>
          <t>Bloqueios pontuais nas rotas que concentram</t>
        </is>
      </c>
      <c r="C13" s="5">
        <f>Premissas!D24</f>
        <v/>
      </c>
      <c r="D13" s="9">
        <f>Premissas!D26</f>
        <v/>
      </c>
      <c r="E13" s="10">
        <f>Premissas!D27</f>
        <v/>
      </c>
      <c r="F13" s="11">
        <f>Premissas!D20</f>
        <v/>
      </c>
      <c r="G13" s="12">
        <f>Premissas!D29</f>
        <v/>
      </c>
    </row>
    <row r="14">
      <c r="A14" s="4" t="inlineStr">
        <is>
          <t>Fase 3</t>
        </is>
      </c>
      <c r="B14" s="8" t="inlineStr">
        <is>
          <t>Convenio proprio</t>
        </is>
      </c>
      <c r="C14" s="5">
        <f>Premissas!E24</f>
        <v/>
      </c>
      <c r="D14" s="9">
        <f>Premissas!E26</f>
        <v/>
      </c>
      <c r="E14" s="10">
        <f>Premissas!E27</f>
        <v/>
      </c>
      <c r="F14" s="11">
        <f>Premissas!E20</f>
        <v/>
      </c>
      <c r="G14" s="12">
        <f>Premissas!E29</f>
        <v/>
      </c>
    </row>
    <row r="17">
      <c r="A17" s="7" t="inlineStr">
        <is>
          <t>Sensibilidade - uma variavel por vez, base tendencial</t>
        </is>
      </c>
    </row>
    <row r="18">
      <c r="A18" s="3" t="inlineStr">
        <is>
          <t>Variavel</t>
        </is>
      </c>
      <c r="B18" s="3" t="inlineStr">
        <is>
          <t>Baixo</t>
        </is>
      </c>
      <c r="C18" s="3" t="inlineStr">
        <is>
          <t>Base</t>
        </is>
      </c>
      <c r="D18" s="3" t="inlineStr">
        <is>
          <t>Alto</t>
        </is>
      </c>
      <c r="E18" s="3" t="inlineStr">
        <is>
          <t>Impacto -</t>
        </is>
      </c>
      <c r="F18" s="3" t="inlineStr">
        <is>
          <t>Impacto +</t>
        </is>
      </c>
    </row>
    <row r="19">
      <c r="A19" s="4" t="inlineStr">
        <is>
          <t>Alunos captados por ano (-30% / +30%)</t>
        </is>
      </c>
      <c r="B19" s="5">
        <f>Cenarios!$E$37*0.7</f>
        <v/>
      </c>
      <c r="C19" s="5">
        <f>Cenarios!$E$37</f>
        <v/>
      </c>
      <c r="D19" s="5">
        <f>Cenarios!$E$37*1.3</f>
        <v/>
      </c>
      <c r="E19" s="13">
        <f>B19/C19-1</f>
        <v/>
      </c>
      <c r="F19" s="13">
        <f>D19/C19-1</f>
        <v/>
      </c>
    </row>
    <row r="20">
      <c r="A20" s="8" t="inlineStr">
        <is>
          <t>Taxa de servico (R$ 50 / R$ 150)</t>
        </is>
      </c>
      <c r="B20" s="5" t="n">
        <v>823543</v>
      </c>
      <c r="C20" s="5">
        <f>Cenarios!$E$37</f>
        <v/>
      </c>
      <c r="D20" s="5" t="n">
        <v>1374343</v>
      </c>
      <c r="E20" s="11">
        <f>B20/C20-1</f>
        <v/>
      </c>
      <c r="F20" s="11">
        <f>D20/C20-1</f>
        <v/>
      </c>
    </row>
    <row r="21">
      <c r="A21" s="8" t="inlineStr">
        <is>
          <t>Comissao (uma faixa abaixo / acima)</t>
        </is>
      </c>
      <c r="B21" s="5" t="n">
        <v>934416</v>
      </c>
      <c r="C21" s="5">
        <f>Cenarios!$E$37</f>
        <v/>
      </c>
      <c r="D21" s="5" t="n">
        <v>1415016</v>
      </c>
      <c r="E21" s="11">
        <f>B21/C21-1</f>
        <v/>
      </c>
      <c r="F21" s="11">
        <f>D21/C21-1</f>
        <v/>
      </c>
    </row>
    <row r="23">
      <c r="A23" s="14" t="inlineStr">
        <is>
          <t>Sobraram tres variaveis, e a dominante e a captacao - que e a que o grupo controla.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2" customWidth="1" min="6" max="6"/>
  </cols>
  <sheetData>
    <row r="1">
      <c r="A1" s="1" t="inlineStr">
        <is>
          <t>Antevia - Sprint 4 (v3) - Premissas</t>
        </is>
      </c>
    </row>
    <row r="2">
      <c r="A2" s="2" t="inlineStr">
        <is>
          <t>Dourado = entrada editavel. Azul = derivado. A unidade do modelo e o ALUNO CAPTADO, nao a turma.</t>
        </is>
      </c>
    </row>
    <row r="4">
      <c r="A4" s="3" t="inlineStr">
        <is>
          <t>ID</t>
        </is>
      </c>
      <c r="B4" s="3" t="inlineStr">
        <is>
          <t>Premissa</t>
        </is>
      </c>
      <c r="C4" s="3" t="inlineStr">
        <is>
          <t>Valor</t>
        </is>
      </c>
      <c r="D4" s="3" t="inlineStr">
        <is>
          <t>Unid.</t>
        </is>
      </c>
      <c r="E4" s="3" t="inlineStr">
        <is>
          <t>Origem</t>
        </is>
      </c>
      <c r="F4" s="3" t="inlineStr">
        <is>
          <t>Status</t>
        </is>
      </c>
    </row>
    <row r="5">
      <c r="A5" s="4" t="inlineStr">
        <is>
          <t>P1</t>
        </is>
      </c>
      <c r="B5" s="8" t="inlineStr">
        <is>
          <t>Matriculados em pos-graduacao (Brasil)</t>
        </is>
      </c>
      <c r="C5" s="6" t="n">
        <v>1400000</v>
      </c>
      <c r="D5" s="8" t="inlineStr">
        <is>
          <t>alunos</t>
        </is>
      </c>
      <c r="E5" s="8" t="inlineStr">
        <is>
          <t>IBGE</t>
        </is>
      </c>
      <c r="F5" s="8" t="inlineStr">
        <is>
          <t>Validada</t>
        </is>
      </c>
    </row>
    <row r="6">
      <c r="A6" s="4" t="inlineStr">
        <is>
          <t>P2</t>
        </is>
      </c>
      <c r="B6" s="8" t="inlineStr">
        <is>
          <t>Fatia em programas executivos presenciais</t>
        </is>
      </c>
      <c r="C6" s="15" t="n">
        <v>0.12</v>
      </c>
      <c r="D6" s="8" t="inlineStr">
        <is>
          <t>%</t>
        </is>
      </c>
      <c r="E6" s="8" t="inlineStr">
        <is>
          <t>Estimativa</t>
        </is>
      </c>
      <c r="F6" s="16" t="inlineStr">
        <is>
          <t>A validar</t>
        </is>
      </c>
    </row>
    <row r="7">
      <c r="A7" s="4" t="inlineStr">
        <is>
          <t>P3</t>
        </is>
      </c>
      <c r="B7" s="8" t="inlineStr">
        <is>
          <t>Fatia que viaja de outra cidade</t>
        </is>
      </c>
      <c r="C7" s="15" t="n">
        <v>0.25</v>
      </c>
      <c r="D7" s="8" t="inlineStr">
        <is>
          <t>%</t>
        </is>
      </c>
      <c r="E7" s="8" t="inlineStr">
        <is>
          <t>Entrevistas S1</t>
        </is>
      </c>
      <c r="F7" s="16" t="inlineStr">
        <is>
          <t>A validar</t>
        </is>
      </c>
    </row>
    <row r="8">
      <c r="A8" s="4" t="inlineStr">
        <is>
          <t>P4</t>
        </is>
      </c>
      <c r="B8" s="8" t="inlineStr">
        <is>
          <t>SAM como fatia do TAM</t>
        </is>
      </c>
      <c r="C8" s="15" t="n">
        <v>0.25</v>
      </c>
      <c r="D8" s="8" t="inlineStr">
        <is>
          <t>%</t>
        </is>
      </c>
      <c r="E8" s="8" t="inlineStr">
        <is>
          <t>Estimativa</t>
        </is>
      </c>
      <c r="F8" s="16" t="inlineStr">
        <is>
          <t>A validar</t>
        </is>
      </c>
    </row>
    <row r="9">
      <c r="A9" s="4" t="inlineStr">
        <is>
          <t>P8</t>
        </is>
      </c>
      <c r="B9" s="8" t="inlineStr">
        <is>
          <t>Modulos por programa</t>
        </is>
      </c>
      <c r="C9" s="6" t="n">
        <v>12</v>
      </c>
      <c r="D9" s="8" t="inlineStr">
        <is>
          <t>modulos</t>
        </is>
      </c>
      <c r="E9" s="8" t="inlineStr">
        <is>
          <t>Exemplo da banca</t>
        </is>
      </c>
      <c r="F9" s="16" t="inlineStr">
        <is>
          <t>A validar</t>
        </is>
      </c>
    </row>
    <row r="10">
      <c r="A10" s="4" t="inlineStr">
        <is>
          <t>P9</t>
        </is>
      </c>
      <c r="B10" s="8" t="inlineStr">
        <is>
          <t>Duracao do ciclo do programa</t>
        </is>
      </c>
      <c r="C10" s="6" t="n">
        <v>20</v>
      </c>
      <c r="D10" s="8" t="inlineStr">
        <is>
          <t>meses</t>
        </is>
      </c>
      <c r="E10" s="8" t="inlineStr">
        <is>
          <t>Persona Ricardo</t>
        </is>
      </c>
      <c r="F10" s="8" t="inlineStr">
        <is>
          <t>Validada</t>
        </is>
      </c>
    </row>
    <row r="11">
      <c r="A11" s="4" t="inlineStr">
        <is>
          <t>P16</t>
        </is>
      </c>
      <c r="B11" s="8" t="inlineStr">
        <is>
          <t>Taxa de servico por modulo</t>
        </is>
      </c>
      <c r="C11" s="6" t="n">
        <v>100</v>
      </c>
      <c r="D11" s="8" t="inlineStr">
        <is>
          <t>R$</t>
        </is>
      </c>
      <c r="E11" s="8" t="inlineStr">
        <is>
          <t>H6 Sprint 1</t>
        </is>
      </c>
      <c r="F11" s="16" t="inlineStr">
        <is>
          <t>A validar</t>
        </is>
      </c>
    </row>
    <row r="12">
      <c r="A12" s="4" t="inlineStr">
        <is>
          <t>P22</t>
        </is>
      </c>
      <c r="B12" s="8" t="inlineStr">
        <is>
          <t>Pax minimos p/ tarifa de grupo</t>
        </is>
      </c>
      <c r="C12" s="6" t="n">
        <v>10</v>
      </c>
      <c r="D12" s="8" t="inlineStr">
        <is>
          <t>pax</t>
        </is>
      </c>
      <c r="E12" s="8" t="inlineStr">
        <is>
          <t>Pratica mercado</t>
        </is>
      </c>
      <c r="F12" s="16" t="inlineStr">
        <is>
          <t>A validar</t>
        </is>
      </c>
    </row>
    <row r="13">
      <c r="A13" s="4" t="inlineStr">
        <is>
          <t>P23</t>
        </is>
      </c>
      <c r="B13" s="8" t="inlineStr">
        <is>
          <t>Origens principais por campus</t>
        </is>
      </c>
      <c r="C13" s="6" t="n">
        <v>6</v>
      </c>
      <c r="D13" s="8" t="inlineStr">
        <is>
          <t>origens</t>
        </is>
      </c>
      <c r="E13" s="8" t="inlineStr">
        <is>
          <t>Velt (5-8)</t>
        </is>
      </c>
      <c r="F13" s="8" t="inlineStr">
        <is>
          <t>Calibrada</t>
        </is>
      </c>
    </row>
    <row r="15">
      <c r="A15" s="7" t="inlineStr">
        <is>
          <t>Parametros por fase de poder de negociacao</t>
        </is>
      </c>
    </row>
    <row r="16">
      <c r="A16" s="3" t="inlineStr">
        <is>
          <t>Item</t>
        </is>
      </c>
      <c r="B16" s="3" t="inlineStr">
        <is>
          <t>Hoje</t>
        </is>
      </c>
      <c r="C16" s="3" t="inlineStr">
        <is>
          <t>Fase 1 (ano 1)</t>
        </is>
      </c>
      <c r="D16" s="3" t="inlineStr">
        <is>
          <t>Fase 2 (ano 2)</t>
        </is>
      </c>
      <c r="E16" s="3" t="inlineStr">
        <is>
          <t>Fase 3 (ano 3)</t>
        </is>
      </c>
    </row>
    <row r="17">
      <c r="A17" s="8" t="inlineStr">
        <is>
          <t>Aereo ida e volta</t>
        </is>
      </c>
      <c r="B17" s="6" t="n">
        <v>1400</v>
      </c>
      <c r="C17" s="6" t="n">
        <v>1150</v>
      </c>
      <c r="D17" s="6" t="n">
        <v>1080</v>
      </c>
      <c r="E17" s="6" t="n">
        <v>1020</v>
      </c>
    </row>
    <row r="18">
      <c r="A18" s="8" t="inlineStr">
        <is>
          <t>Hotel 2 diarias</t>
        </is>
      </c>
      <c r="B18" s="6" t="n">
        <v>600</v>
      </c>
      <c r="C18" s="6" t="n">
        <v>570</v>
      </c>
      <c r="D18" s="6" t="n">
        <v>530</v>
      </c>
      <c r="E18" s="6" t="n">
        <v>500</v>
      </c>
    </row>
    <row r="19">
      <c r="A19" s="8" t="inlineStr">
        <is>
          <t>Traslado</t>
        </is>
      </c>
      <c r="B19" s="6" t="n">
        <v>200</v>
      </c>
      <c r="C19" s="6" t="n">
        <v>200</v>
      </c>
      <c r="D19" s="6" t="n">
        <v>190</v>
      </c>
      <c r="E19" s="6" t="n">
        <v>180</v>
      </c>
    </row>
    <row r="20">
      <c r="A20" s="8" t="inlineStr">
        <is>
          <t>Comissao media sobre o ticket</t>
        </is>
      </c>
      <c r="B20" s="8" t="inlineStr">
        <is>
          <t>-</t>
        </is>
      </c>
      <c r="C20" s="15" t="n">
        <v>0.03</v>
      </c>
      <c r="D20" s="15" t="n">
        <v>0.05</v>
      </c>
      <c r="E20" s="15" t="n">
        <v>0.064</v>
      </c>
    </row>
    <row r="22">
      <c r="A22" s="7" t="inlineStr">
        <is>
          <t>Derivados por fase</t>
        </is>
      </c>
    </row>
    <row r="23">
      <c r="A23" s="3" t="inlineStr">
        <is>
          <t>Item</t>
        </is>
      </c>
      <c r="B23" s="3" t="inlineStr">
        <is>
          <t>Hoje</t>
        </is>
      </c>
      <c r="C23" s="3" t="inlineStr">
        <is>
          <t>Fase 1</t>
        </is>
      </c>
      <c r="D23" s="3" t="inlineStr">
        <is>
          <t>Fase 2</t>
        </is>
      </c>
      <c r="E23" s="3" t="inlineStr">
        <is>
          <t>Fase 3</t>
        </is>
      </c>
    </row>
    <row r="24">
      <c r="A24" s="8" t="inlineStr">
        <is>
          <t>Ticket logistico</t>
        </is>
      </c>
      <c r="B24" s="17">
        <f>B17+B18+B19</f>
        <v/>
      </c>
      <c r="C24" s="17">
        <f>C17+C18+C19</f>
        <v/>
      </c>
      <c r="D24" s="17">
        <f>D17+D18+D19</f>
        <v/>
      </c>
      <c r="E24" s="17">
        <f>E17+E18+E19</f>
        <v/>
      </c>
    </row>
    <row r="25">
      <c r="A25" s="8" t="inlineStr">
        <is>
          <t>Economia bruta vs hoje</t>
        </is>
      </c>
      <c r="B25" s="8" t="inlineStr">
        <is>
          <t>-</t>
        </is>
      </c>
      <c r="C25" s="17">
        <f>$B$24-C24</f>
        <v/>
      </c>
      <c r="D25" s="17">
        <f>$B$24-D24</f>
        <v/>
      </c>
      <c r="E25" s="17">
        <f>$B$24-E24</f>
        <v/>
      </c>
    </row>
    <row r="26">
      <c r="A26" s="8" t="inlineStr">
        <is>
          <t>Economia liquida do aluno</t>
        </is>
      </c>
      <c r="B26" s="8" t="inlineStr">
        <is>
          <t>-</t>
        </is>
      </c>
      <c r="C26" s="17">
        <f>C25-$C$11</f>
        <v/>
      </c>
      <c r="D26" s="17">
        <f>D25-$C$11</f>
        <v/>
      </c>
      <c r="E26" s="17">
        <f>E25-$C$11</f>
        <v/>
      </c>
    </row>
    <row r="27">
      <c r="A27" s="8" t="inlineStr">
        <is>
          <t>Retorno sobre a taxa</t>
        </is>
      </c>
      <c r="B27" s="8" t="inlineStr">
        <is>
          <t>-</t>
        </is>
      </c>
      <c r="C27" s="18">
        <f>C26/$C$11</f>
        <v/>
      </c>
      <c r="D27" s="18">
        <f>D26/$C$11</f>
        <v/>
      </c>
      <c r="E27" s="18">
        <f>E26/$C$11</f>
        <v/>
      </c>
    </row>
    <row r="28">
      <c r="A28" s="8" t="inlineStr">
        <is>
          <t>Comissao por viagem</t>
        </is>
      </c>
      <c r="B28" s="8" t="inlineStr">
        <is>
          <t>-</t>
        </is>
      </c>
      <c r="C28" s="19">
        <f>C24*C20</f>
        <v/>
      </c>
      <c r="D28" s="19">
        <f>D24*D20</f>
        <v/>
      </c>
      <c r="E28" s="19">
        <f>E24*E20</f>
        <v/>
      </c>
    </row>
    <row r="29">
      <c r="A29" s="8" t="inlineStr">
        <is>
          <t>Receita por viagem</t>
        </is>
      </c>
      <c r="B29" s="8" t="inlineStr">
        <is>
          <t>-</t>
        </is>
      </c>
      <c r="C29" s="19">
        <f>$C$11+C28</f>
        <v/>
      </c>
      <c r="D29" s="19">
        <f>$C$11+D28</f>
        <v/>
      </c>
      <c r="E29" s="19">
        <f>$C$11+E28</f>
        <v/>
      </c>
    </row>
    <row r="30">
      <c r="A30" s="8" t="inlineStr">
        <is>
          <t>Viagens por aluno por trimestre</t>
        </is>
      </c>
      <c r="C30" s="20">
        <f>C9/C10*3</f>
        <v/>
      </c>
      <c r="D30" s="8" t="inlineStr">
        <is>
          <t>idem</t>
        </is>
      </c>
      <c r="E30" s="8" t="inlineStr">
        <is>
          <t>idem</t>
        </is>
      </c>
    </row>
    <row r="31">
      <c r="A31" s="8" t="inlineStr">
        <is>
          <t>Alunos no mesmo campus/data p/ formar grupo</t>
        </is>
      </c>
      <c r="C31" s="17">
        <f>C12*C13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" customWidth="1" min="2" max="2"/>
    <col width="14" customWidth="1" min="3" max="3"/>
    <col width="12" customWidth="1" min="4" max="4"/>
    <col width="16" customWidth="1" min="5" max="5"/>
    <col width="16" customWidth="1" min="6" max="6"/>
    <col width="20" customWidth="1" min="7" max="7"/>
  </cols>
  <sheetData>
    <row r="1">
      <c r="A1" s="1" t="inlineStr">
        <is>
          <t>Cenarios de receita - 12 trimestres</t>
        </is>
      </c>
    </row>
    <row r="2">
      <c r="A2" s="2" t="inlineStr">
        <is>
          <t>Edite os alunos ativos (dourado). Tudo o mais e formula. Fase 1 = ano 1, fase 2 = ano 2, fase 3 = ano 3.</t>
        </is>
      </c>
    </row>
    <row r="4">
      <c r="A4" s="7" t="inlineStr">
        <is>
          <t>Pessimista</t>
        </is>
      </c>
    </row>
    <row r="5">
      <c r="A5" s="3" t="inlineStr">
        <is>
          <t>Trim.</t>
        </is>
      </c>
      <c r="B5" s="3" t="inlineStr">
        <is>
          <t>Fase</t>
        </is>
      </c>
      <c r="C5" s="3" t="inlineStr">
        <is>
          <t>Alunos ativos</t>
        </is>
      </c>
      <c r="D5" s="3" t="inlineStr">
        <is>
          <t>Viagens</t>
        </is>
      </c>
      <c r="E5" s="3" t="inlineStr">
        <is>
          <t>Receita (R$)</t>
        </is>
      </c>
      <c r="F5" s="3" t="inlineStr">
        <is>
          <t>GMV (R$)</t>
        </is>
      </c>
      <c r="G5" s="3" t="inlineStr">
        <is>
          <t>Economia alunos (R$)</t>
        </is>
      </c>
    </row>
    <row r="6">
      <c r="A6" s="4" t="inlineStr">
        <is>
          <t>T1</t>
        </is>
      </c>
      <c r="B6" s="8" t="n">
        <v>1</v>
      </c>
      <c r="C6" s="21" t="n">
        <v>15</v>
      </c>
      <c r="D6" s="5">
        <f>C6*Premissas!$C$30</f>
        <v/>
      </c>
      <c r="E6" s="5">
        <f>D6*Premissas!$C$29</f>
        <v/>
      </c>
      <c r="F6" s="5">
        <f>D6*Premissas!$C$24</f>
        <v/>
      </c>
      <c r="G6" s="5">
        <f>D6*Premissas!$C$26</f>
        <v/>
      </c>
    </row>
    <row r="7">
      <c r="A7" s="4" t="inlineStr">
        <is>
          <t>T2</t>
        </is>
      </c>
      <c r="B7" s="8" t="n">
        <v>1</v>
      </c>
      <c r="C7" s="21" t="n">
        <v>30</v>
      </c>
      <c r="D7" s="5">
        <f>C7*Premissas!$C$30</f>
        <v/>
      </c>
      <c r="E7" s="5">
        <f>D7*Premissas!$C$29</f>
        <v/>
      </c>
      <c r="F7" s="5">
        <f>D7*Premissas!$C$24</f>
        <v/>
      </c>
      <c r="G7" s="5">
        <f>D7*Premissas!$C$26</f>
        <v/>
      </c>
    </row>
    <row r="8">
      <c r="A8" s="4" t="inlineStr">
        <is>
          <t>T3</t>
        </is>
      </c>
      <c r="B8" s="8" t="n">
        <v>1</v>
      </c>
      <c r="C8" s="21" t="n">
        <v>40</v>
      </c>
      <c r="D8" s="5">
        <f>C8*Premissas!$C$30</f>
        <v/>
      </c>
      <c r="E8" s="5">
        <f>D8*Premissas!$C$29</f>
        <v/>
      </c>
      <c r="F8" s="5">
        <f>D8*Premissas!$C$24</f>
        <v/>
      </c>
      <c r="G8" s="5">
        <f>D8*Premissas!$C$26</f>
        <v/>
      </c>
    </row>
    <row r="9">
      <c r="A9" s="4" t="inlineStr">
        <is>
          <t>T4</t>
        </is>
      </c>
      <c r="B9" s="8" t="n">
        <v>1</v>
      </c>
      <c r="C9" s="21" t="n">
        <v>50</v>
      </c>
      <c r="D9" s="5">
        <f>C9*Premissas!$C$30</f>
        <v/>
      </c>
      <c r="E9" s="5">
        <f>D9*Premissas!$C$29</f>
        <v/>
      </c>
      <c r="F9" s="5">
        <f>D9*Premissas!$C$24</f>
        <v/>
      </c>
      <c r="G9" s="5">
        <f>D9*Premissas!$C$26</f>
        <v/>
      </c>
    </row>
    <row r="10">
      <c r="A10" s="4" t="inlineStr">
        <is>
          <t>T5</t>
        </is>
      </c>
      <c r="B10" s="8" t="n">
        <v>2</v>
      </c>
      <c r="C10" s="21" t="n">
        <v>70</v>
      </c>
      <c r="D10" s="5">
        <f>C10*Premissas!$C$30</f>
        <v/>
      </c>
      <c r="E10" s="5">
        <f>D10*Premissas!$D$29</f>
        <v/>
      </c>
      <c r="F10" s="5">
        <f>D10*Premissas!$D$24</f>
        <v/>
      </c>
      <c r="G10" s="5">
        <f>D10*Premissas!$D$26</f>
        <v/>
      </c>
    </row>
    <row r="11">
      <c r="A11" s="4" t="inlineStr">
        <is>
          <t>T6</t>
        </is>
      </c>
      <c r="B11" s="8" t="n">
        <v>2</v>
      </c>
      <c r="C11" s="21" t="n">
        <v>90</v>
      </c>
      <c r="D11" s="5">
        <f>C11*Premissas!$C$30</f>
        <v/>
      </c>
      <c r="E11" s="5">
        <f>D11*Premissas!$D$29</f>
        <v/>
      </c>
      <c r="F11" s="5">
        <f>D11*Premissas!$D$24</f>
        <v/>
      </c>
      <c r="G11" s="5">
        <f>D11*Premissas!$D$26</f>
        <v/>
      </c>
    </row>
    <row r="12">
      <c r="A12" s="4" t="inlineStr">
        <is>
          <t>T7</t>
        </is>
      </c>
      <c r="B12" s="8" t="n">
        <v>2</v>
      </c>
      <c r="C12" s="21" t="n">
        <v>110</v>
      </c>
      <c r="D12" s="5">
        <f>C12*Premissas!$C$30</f>
        <v/>
      </c>
      <c r="E12" s="5">
        <f>D12*Premissas!$D$29</f>
        <v/>
      </c>
      <c r="F12" s="5">
        <f>D12*Premissas!$D$24</f>
        <v/>
      </c>
      <c r="G12" s="5">
        <f>D12*Premissas!$D$26</f>
        <v/>
      </c>
    </row>
    <row r="13">
      <c r="A13" s="4" t="inlineStr">
        <is>
          <t>T8</t>
        </is>
      </c>
      <c r="B13" s="8" t="n">
        <v>2</v>
      </c>
      <c r="C13" s="21" t="n">
        <v>140</v>
      </c>
      <c r="D13" s="5">
        <f>C13*Premissas!$C$30</f>
        <v/>
      </c>
      <c r="E13" s="5">
        <f>D13*Premissas!$D$29</f>
        <v/>
      </c>
      <c r="F13" s="5">
        <f>D13*Premissas!$D$24</f>
        <v/>
      </c>
      <c r="G13" s="5">
        <f>D13*Premissas!$D$26</f>
        <v/>
      </c>
    </row>
    <row r="14">
      <c r="A14" s="4" t="inlineStr">
        <is>
          <t>T9</t>
        </is>
      </c>
      <c r="B14" s="8" t="n">
        <v>3</v>
      </c>
      <c r="C14" s="21" t="n">
        <v>180</v>
      </c>
      <c r="D14" s="5">
        <f>C14*Premissas!$C$30</f>
        <v/>
      </c>
      <c r="E14" s="5">
        <f>D14*Premissas!$E$29</f>
        <v/>
      </c>
      <c r="F14" s="5">
        <f>D14*Premissas!$E$24</f>
        <v/>
      </c>
      <c r="G14" s="5">
        <f>D14*Premissas!$E$26</f>
        <v/>
      </c>
    </row>
    <row r="15">
      <c r="A15" s="4" t="inlineStr">
        <is>
          <t>T10</t>
        </is>
      </c>
      <c r="B15" s="8" t="n">
        <v>3</v>
      </c>
      <c r="C15" s="21" t="n">
        <v>220</v>
      </c>
      <c r="D15" s="5">
        <f>C15*Premissas!$C$30</f>
        <v/>
      </c>
      <c r="E15" s="5">
        <f>D15*Premissas!$E$29</f>
        <v/>
      </c>
      <c r="F15" s="5">
        <f>D15*Premissas!$E$24</f>
        <v/>
      </c>
      <c r="G15" s="5">
        <f>D15*Premissas!$E$26</f>
        <v/>
      </c>
    </row>
    <row r="16">
      <c r="A16" s="4" t="inlineStr">
        <is>
          <t>T11</t>
        </is>
      </c>
      <c r="B16" s="8" t="n">
        <v>3</v>
      </c>
      <c r="C16" s="21" t="n">
        <v>270</v>
      </c>
      <c r="D16" s="5">
        <f>C16*Premissas!$C$30</f>
        <v/>
      </c>
      <c r="E16" s="5">
        <f>D16*Premissas!$E$29</f>
        <v/>
      </c>
      <c r="F16" s="5">
        <f>D16*Premissas!$E$24</f>
        <v/>
      </c>
      <c r="G16" s="5">
        <f>D16*Premissas!$E$26</f>
        <v/>
      </c>
    </row>
    <row r="17">
      <c r="A17" s="4" t="inlineStr">
        <is>
          <t>T12</t>
        </is>
      </c>
      <c r="B17" s="8" t="n">
        <v>3</v>
      </c>
      <c r="C17" s="21" t="n">
        <v>320</v>
      </c>
      <c r="D17" s="5">
        <f>C17*Premissas!$C$30</f>
        <v/>
      </c>
      <c r="E17" s="5">
        <f>D17*Premissas!$E$29</f>
        <v/>
      </c>
      <c r="F17" s="5">
        <f>D17*Premissas!$E$24</f>
        <v/>
      </c>
      <c r="G17" s="5">
        <f>D17*Premissas!$E$26</f>
        <v/>
      </c>
    </row>
    <row r="18">
      <c r="A18" s="22" t="inlineStr">
        <is>
          <t>Total</t>
        </is>
      </c>
      <c r="B18" s="23" t="inlineStr"/>
      <c r="C18" s="23" t="inlineStr"/>
      <c r="D18" s="24">
        <f>SUM(D6:D17)</f>
        <v/>
      </c>
      <c r="E18" s="24">
        <f>SUM(E6:E17)</f>
        <v/>
      </c>
      <c r="F18" s="24">
        <f>SUM(F6:F17)</f>
        <v/>
      </c>
      <c r="G18" s="24">
        <f>SUM(G6:G17)</f>
        <v/>
      </c>
    </row>
    <row r="19">
      <c r="A19" s="4" t="inlineStr">
        <is>
          <t>Ano 1</t>
        </is>
      </c>
      <c r="E19" s="17">
        <f>SUM(E6:E9)</f>
        <v/>
      </c>
    </row>
    <row r="20">
      <c r="A20" s="4" t="inlineStr">
        <is>
          <t>Ano 2</t>
        </is>
      </c>
      <c r="E20" s="17">
        <f>SUM(E10:E13)</f>
        <v/>
      </c>
    </row>
    <row r="21">
      <c r="A21" s="4" t="inlineStr">
        <is>
          <t>Ano 3</t>
        </is>
      </c>
      <c r="E21" s="17">
        <f>SUM(E14:E17)</f>
        <v/>
      </c>
    </row>
    <row r="23">
      <c r="A23" s="7" t="inlineStr">
        <is>
          <t>Tendencial</t>
        </is>
      </c>
    </row>
    <row r="24">
      <c r="A24" s="3" t="inlineStr">
        <is>
          <t>Trim.</t>
        </is>
      </c>
      <c r="B24" s="3" t="inlineStr">
        <is>
          <t>Fase</t>
        </is>
      </c>
      <c r="C24" s="3" t="inlineStr">
        <is>
          <t>Alunos ativos</t>
        </is>
      </c>
      <c r="D24" s="3" t="inlineStr">
        <is>
          <t>Viagens</t>
        </is>
      </c>
      <c r="E24" s="3" t="inlineStr">
        <is>
          <t>Receita (R$)</t>
        </is>
      </c>
      <c r="F24" s="3" t="inlineStr">
        <is>
          <t>GMV (R$)</t>
        </is>
      </c>
      <c r="G24" s="3" t="inlineStr">
        <is>
          <t>Economia alunos (R$)</t>
        </is>
      </c>
    </row>
    <row r="25">
      <c r="A25" s="4" t="inlineStr">
        <is>
          <t>T1</t>
        </is>
      </c>
      <c r="B25" s="8" t="n">
        <v>1</v>
      </c>
      <c r="C25" s="21" t="n">
        <v>25</v>
      </c>
      <c r="D25" s="5">
        <f>C25*Premissas!$C$30</f>
        <v/>
      </c>
      <c r="E25" s="5">
        <f>D25*Premissas!$C$29</f>
        <v/>
      </c>
      <c r="F25" s="5">
        <f>D25*Premissas!$C$24</f>
        <v/>
      </c>
      <c r="G25" s="5">
        <f>D25*Premissas!$C$26</f>
        <v/>
      </c>
    </row>
    <row r="26">
      <c r="A26" s="4" t="inlineStr">
        <is>
          <t>T2</t>
        </is>
      </c>
      <c r="B26" s="8" t="n">
        <v>1</v>
      </c>
      <c r="C26" s="21" t="n">
        <v>50</v>
      </c>
      <c r="D26" s="5">
        <f>C26*Premissas!$C$30</f>
        <v/>
      </c>
      <c r="E26" s="5">
        <f>D26*Premissas!$C$29</f>
        <v/>
      </c>
      <c r="F26" s="5">
        <f>D26*Premissas!$C$24</f>
        <v/>
      </c>
      <c r="G26" s="5">
        <f>D26*Premissas!$C$26</f>
        <v/>
      </c>
    </row>
    <row r="27">
      <c r="A27" s="4" t="inlineStr">
        <is>
          <t>T3</t>
        </is>
      </c>
      <c r="B27" s="8" t="n">
        <v>1</v>
      </c>
      <c r="C27" s="21" t="n">
        <v>75</v>
      </c>
      <c r="D27" s="5">
        <f>C27*Premissas!$C$30</f>
        <v/>
      </c>
      <c r="E27" s="5">
        <f>D27*Premissas!$C$29</f>
        <v/>
      </c>
      <c r="F27" s="5">
        <f>D27*Premissas!$C$24</f>
        <v/>
      </c>
      <c r="G27" s="5">
        <f>D27*Premissas!$C$26</f>
        <v/>
      </c>
    </row>
    <row r="28">
      <c r="A28" s="4" t="inlineStr">
        <is>
          <t>T4</t>
        </is>
      </c>
      <c r="B28" s="8" t="n">
        <v>1</v>
      </c>
      <c r="C28" s="21" t="n">
        <v>100</v>
      </c>
      <c r="D28" s="5">
        <f>C28*Premissas!$C$30</f>
        <v/>
      </c>
      <c r="E28" s="5">
        <f>D28*Premissas!$C$29</f>
        <v/>
      </c>
      <c r="F28" s="5">
        <f>D28*Premissas!$C$24</f>
        <v/>
      </c>
      <c r="G28" s="5">
        <f>D28*Premissas!$C$26</f>
        <v/>
      </c>
    </row>
    <row r="29">
      <c r="A29" s="4" t="inlineStr">
        <is>
          <t>T5</t>
        </is>
      </c>
      <c r="B29" s="8" t="n">
        <v>2</v>
      </c>
      <c r="C29" s="21" t="n">
        <v>140</v>
      </c>
      <c r="D29" s="5">
        <f>C29*Premissas!$C$30</f>
        <v/>
      </c>
      <c r="E29" s="5">
        <f>D29*Premissas!$D$29</f>
        <v/>
      </c>
      <c r="F29" s="5">
        <f>D29*Premissas!$D$24</f>
        <v/>
      </c>
      <c r="G29" s="5">
        <f>D29*Premissas!$D$26</f>
        <v/>
      </c>
    </row>
    <row r="30">
      <c r="A30" s="4" t="inlineStr">
        <is>
          <t>T6</t>
        </is>
      </c>
      <c r="B30" s="8" t="n">
        <v>2</v>
      </c>
      <c r="C30" s="21" t="n">
        <v>180</v>
      </c>
      <c r="D30" s="5">
        <f>C30*Premissas!$C$30</f>
        <v/>
      </c>
      <c r="E30" s="5">
        <f>D30*Premissas!$D$29</f>
        <v/>
      </c>
      <c r="F30" s="5">
        <f>D30*Premissas!$D$24</f>
        <v/>
      </c>
      <c r="G30" s="5">
        <f>D30*Premissas!$D$26</f>
        <v/>
      </c>
    </row>
    <row r="31">
      <c r="A31" s="4" t="inlineStr">
        <is>
          <t>T7</t>
        </is>
      </c>
      <c r="B31" s="8" t="n">
        <v>2</v>
      </c>
      <c r="C31" s="21" t="n">
        <v>230</v>
      </c>
      <c r="D31" s="5">
        <f>C31*Premissas!$C$30</f>
        <v/>
      </c>
      <c r="E31" s="5">
        <f>D31*Premissas!$D$29</f>
        <v/>
      </c>
      <c r="F31" s="5">
        <f>D31*Premissas!$D$24</f>
        <v/>
      </c>
      <c r="G31" s="5">
        <f>D31*Premissas!$D$26</f>
        <v/>
      </c>
    </row>
    <row r="32">
      <c r="A32" s="4" t="inlineStr">
        <is>
          <t>T8</t>
        </is>
      </c>
      <c r="B32" s="8" t="n">
        <v>2</v>
      </c>
      <c r="C32" s="21" t="n">
        <v>280</v>
      </c>
      <c r="D32" s="5">
        <f>C32*Premissas!$C$30</f>
        <v/>
      </c>
      <c r="E32" s="5">
        <f>D32*Premissas!$D$29</f>
        <v/>
      </c>
      <c r="F32" s="5">
        <f>D32*Premissas!$D$24</f>
        <v/>
      </c>
      <c r="G32" s="5">
        <f>D32*Premissas!$D$26</f>
        <v/>
      </c>
    </row>
    <row r="33">
      <c r="A33" s="4" t="inlineStr">
        <is>
          <t>T9</t>
        </is>
      </c>
      <c r="B33" s="8" t="n">
        <v>3</v>
      </c>
      <c r="C33" s="21" t="n">
        <v>350</v>
      </c>
      <c r="D33" s="5">
        <f>C33*Premissas!$C$30</f>
        <v/>
      </c>
      <c r="E33" s="5">
        <f>D33*Premissas!$E$29</f>
        <v/>
      </c>
      <c r="F33" s="5">
        <f>D33*Premissas!$E$24</f>
        <v/>
      </c>
      <c r="G33" s="5">
        <f>D33*Premissas!$E$26</f>
        <v/>
      </c>
    </row>
    <row r="34">
      <c r="A34" s="4" t="inlineStr">
        <is>
          <t>T10</t>
        </is>
      </c>
      <c r="B34" s="8" t="n">
        <v>3</v>
      </c>
      <c r="C34" s="21" t="n">
        <v>440</v>
      </c>
      <c r="D34" s="5">
        <f>C34*Premissas!$C$30</f>
        <v/>
      </c>
      <c r="E34" s="5">
        <f>D34*Premissas!$E$29</f>
        <v/>
      </c>
      <c r="F34" s="5">
        <f>D34*Premissas!$E$24</f>
        <v/>
      </c>
      <c r="G34" s="5">
        <f>D34*Premissas!$E$26</f>
        <v/>
      </c>
    </row>
    <row r="35">
      <c r="A35" s="4" t="inlineStr">
        <is>
          <t>T11</t>
        </is>
      </c>
      <c r="B35" s="8" t="n">
        <v>3</v>
      </c>
      <c r="C35" s="21" t="n">
        <v>540</v>
      </c>
      <c r="D35" s="5">
        <f>C35*Premissas!$C$30</f>
        <v/>
      </c>
      <c r="E35" s="5">
        <f>D35*Premissas!$E$29</f>
        <v/>
      </c>
      <c r="F35" s="5">
        <f>D35*Premissas!$E$24</f>
        <v/>
      </c>
      <c r="G35" s="5">
        <f>D35*Premissas!$E$26</f>
        <v/>
      </c>
    </row>
    <row r="36">
      <c r="A36" s="4" t="inlineStr">
        <is>
          <t>T12</t>
        </is>
      </c>
      <c r="B36" s="8" t="n">
        <v>3</v>
      </c>
      <c r="C36" s="21" t="n">
        <v>650</v>
      </c>
      <c r="D36" s="5">
        <f>C36*Premissas!$C$30</f>
        <v/>
      </c>
      <c r="E36" s="5">
        <f>D36*Premissas!$E$29</f>
        <v/>
      </c>
      <c r="F36" s="5">
        <f>D36*Premissas!$E$24</f>
        <v/>
      </c>
      <c r="G36" s="5">
        <f>D36*Premissas!$E$26</f>
        <v/>
      </c>
    </row>
    <row r="37">
      <c r="A37" s="22" t="inlineStr">
        <is>
          <t>Total</t>
        </is>
      </c>
      <c r="B37" s="23" t="inlineStr"/>
      <c r="C37" s="23" t="inlineStr"/>
      <c r="D37" s="24">
        <f>SUM(D25:D36)</f>
        <v/>
      </c>
      <c r="E37" s="24">
        <f>SUM(E25:E36)</f>
        <v/>
      </c>
      <c r="F37" s="24">
        <f>SUM(F25:F36)</f>
        <v/>
      </c>
      <c r="G37" s="24">
        <f>SUM(G25:G36)</f>
        <v/>
      </c>
    </row>
    <row r="38">
      <c r="A38" s="4" t="inlineStr">
        <is>
          <t>Ano 1</t>
        </is>
      </c>
      <c r="E38" s="17">
        <f>SUM(E25:E28)</f>
        <v/>
      </c>
    </row>
    <row r="39">
      <c r="A39" s="4" t="inlineStr">
        <is>
          <t>Ano 2</t>
        </is>
      </c>
      <c r="E39" s="17">
        <f>SUM(E29:E32)</f>
        <v/>
      </c>
    </row>
    <row r="40">
      <c r="A40" s="4" t="inlineStr">
        <is>
          <t>Ano 3</t>
        </is>
      </c>
      <c r="E40" s="17">
        <f>SUM(E33:E36)</f>
        <v/>
      </c>
    </row>
    <row r="42">
      <c r="A42" s="7" t="inlineStr">
        <is>
          <t>Otimista</t>
        </is>
      </c>
    </row>
    <row r="43">
      <c r="A43" s="3" t="inlineStr">
        <is>
          <t>Trim.</t>
        </is>
      </c>
      <c r="B43" s="3" t="inlineStr">
        <is>
          <t>Fase</t>
        </is>
      </c>
      <c r="C43" s="3" t="inlineStr">
        <is>
          <t>Alunos ativos</t>
        </is>
      </c>
      <c r="D43" s="3" t="inlineStr">
        <is>
          <t>Viagens</t>
        </is>
      </c>
      <c r="E43" s="3" t="inlineStr">
        <is>
          <t>Receita (R$)</t>
        </is>
      </c>
      <c r="F43" s="3" t="inlineStr">
        <is>
          <t>GMV (R$)</t>
        </is>
      </c>
      <c r="G43" s="3" t="inlineStr">
        <is>
          <t>Economia alunos (R$)</t>
        </is>
      </c>
    </row>
    <row r="44">
      <c r="A44" s="4" t="inlineStr">
        <is>
          <t>T1</t>
        </is>
      </c>
      <c r="B44" s="8" t="n">
        <v>1</v>
      </c>
      <c r="C44" s="21" t="n">
        <v>40</v>
      </c>
      <c r="D44" s="5">
        <f>C44*Premissas!$C$30</f>
        <v/>
      </c>
      <c r="E44" s="5">
        <f>D44*Premissas!$C$29</f>
        <v/>
      </c>
      <c r="F44" s="5">
        <f>D44*Premissas!$C$24</f>
        <v/>
      </c>
      <c r="G44" s="5">
        <f>D44*Premissas!$C$26</f>
        <v/>
      </c>
    </row>
    <row r="45">
      <c r="A45" s="4" t="inlineStr">
        <is>
          <t>T2</t>
        </is>
      </c>
      <c r="B45" s="8" t="n">
        <v>1</v>
      </c>
      <c r="C45" s="21" t="n">
        <v>80</v>
      </c>
      <c r="D45" s="5">
        <f>C45*Premissas!$C$30</f>
        <v/>
      </c>
      <c r="E45" s="5">
        <f>D45*Premissas!$C$29</f>
        <v/>
      </c>
      <c r="F45" s="5">
        <f>D45*Premissas!$C$24</f>
        <v/>
      </c>
      <c r="G45" s="5">
        <f>D45*Premissas!$C$26</f>
        <v/>
      </c>
    </row>
    <row r="46">
      <c r="A46" s="4" t="inlineStr">
        <is>
          <t>T3</t>
        </is>
      </c>
      <c r="B46" s="8" t="n">
        <v>1</v>
      </c>
      <c r="C46" s="21" t="n">
        <v>120</v>
      </c>
      <c r="D46" s="5">
        <f>C46*Premissas!$C$30</f>
        <v/>
      </c>
      <c r="E46" s="5">
        <f>D46*Premissas!$C$29</f>
        <v/>
      </c>
      <c r="F46" s="5">
        <f>D46*Premissas!$C$24</f>
        <v/>
      </c>
      <c r="G46" s="5">
        <f>D46*Premissas!$C$26</f>
        <v/>
      </c>
    </row>
    <row r="47">
      <c r="A47" s="4" t="inlineStr">
        <is>
          <t>T4</t>
        </is>
      </c>
      <c r="B47" s="8" t="n">
        <v>1</v>
      </c>
      <c r="C47" s="21" t="n">
        <v>160</v>
      </c>
      <c r="D47" s="5">
        <f>C47*Premissas!$C$30</f>
        <v/>
      </c>
      <c r="E47" s="5">
        <f>D47*Premissas!$C$29</f>
        <v/>
      </c>
      <c r="F47" s="5">
        <f>D47*Premissas!$C$24</f>
        <v/>
      </c>
      <c r="G47" s="5">
        <f>D47*Premissas!$C$26</f>
        <v/>
      </c>
    </row>
    <row r="48">
      <c r="A48" s="4" t="inlineStr">
        <is>
          <t>T5</t>
        </is>
      </c>
      <c r="B48" s="8" t="n">
        <v>2</v>
      </c>
      <c r="C48" s="21" t="n">
        <v>220</v>
      </c>
      <c r="D48" s="5">
        <f>C48*Premissas!$C$30</f>
        <v/>
      </c>
      <c r="E48" s="5">
        <f>D48*Premissas!$D$29</f>
        <v/>
      </c>
      <c r="F48" s="5">
        <f>D48*Premissas!$D$24</f>
        <v/>
      </c>
      <c r="G48" s="5">
        <f>D48*Premissas!$D$26</f>
        <v/>
      </c>
    </row>
    <row r="49">
      <c r="A49" s="4" t="inlineStr">
        <is>
          <t>T6</t>
        </is>
      </c>
      <c r="B49" s="8" t="n">
        <v>2</v>
      </c>
      <c r="C49" s="21" t="n">
        <v>290</v>
      </c>
      <c r="D49" s="5">
        <f>C49*Premissas!$C$30</f>
        <v/>
      </c>
      <c r="E49" s="5">
        <f>D49*Premissas!$D$29</f>
        <v/>
      </c>
      <c r="F49" s="5">
        <f>D49*Premissas!$D$24</f>
        <v/>
      </c>
      <c r="G49" s="5">
        <f>D49*Premissas!$D$26</f>
        <v/>
      </c>
    </row>
    <row r="50">
      <c r="A50" s="4" t="inlineStr">
        <is>
          <t>T7</t>
        </is>
      </c>
      <c r="B50" s="8" t="n">
        <v>2</v>
      </c>
      <c r="C50" s="21" t="n">
        <v>370</v>
      </c>
      <c r="D50" s="5">
        <f>C50*Premissas!$C$30</f>
        <v/>
      </c>
      <c r="E50" s="5">
        <f>D50*Premissas!$D$29</f>
        <v/>
      </c>
      <c r="F50" s="5">
        <f>D50*Premissas!$D$24</f>
        <v/>
      </c>
      <c r="G50" s="5">
        <f>D50*Premissas!$D$26</f>
        <v/>
      </c>
    </row>
    <row r="51">
      <c r="A51" s="4" t="inlineStr">
        <is>
          <t>T8</t>
        </is>
      </c>
      <c r="B51" s="8" t="n">
        <v>2</v>
      </c>
      <c r="C51" s="21" t="n">
        <v>450</v>
      </c>
      <c r="D51" s="5">
        <f>C51*Premissas!$C$30</f>
        <v/>
      </c>
      <c r="E51" s="5">
        <f>D51*Premissas!$D$29</f>
        <v/>
      </c>
      <c r="F51" s="5">
        <f>D51*Premissas!$D$24</f>
        <v/>
      </c>
      <c r="G51" s="5">
        <f>D51*Premissas!$D$26</f>
        <v/>
      </c>
    </row>
    <row r="52">
      <c r="A52" s="4" t="inlineStr">
        <is>
          <t>T9</t>
        </is>
      </c>
      <c r="B52" s="8" t="n">
        <v>3</v>
      </c>
      <c r="C52" s="21" t="n">
        <v>600</v>
      </c>
      <c r="D52" s="5">
        <f>C52*Premissas!$C$30</f>
        <v/>
      </c>
      <c r="E52" s="5">
        <f>D52*Premissas!$E$29</f>
        <v/>
      </c>
      <c r="F52" s="5">
        <f>D52*Premissas!$E$24</f>
        <v/>
      </c>
      <c r="G52" s="5">
        <f>D52*Premissas!$E$26</f>
        <v/>
      </c>
    </row>
    <row r="53">
      <c r="A53" s="4" t="inlineStr">
        <is>
          <t>T10</t>
        </is>
      </c>
      <c r="B53" s="8" t="n">
        <v>3</v>
      </c>
      <c r="C53" s="21" t="n">
        <v>750</v>
      </c>
      <c r="D53" s="5">
        <f>C53*Premissas!$C$30</f>
        <v/>
      </c>
      <c r="E53" s="5">
        <f>D53*Premissas!$E$29</f>
        <v/>
      </c>
      <c r="F53" s="5">
        <f>D53*Premissas!$E$24</f>
        <v/>
      </c>
      <c r="G53" s="5">
        <f>D53*Premissas!$E$26</f>
        <v/>
      </c>
    </row>
    <row r="54">
      <c r="A54" s="4" t="inlineStr">
        <is>
          <t>T11</t>
        </is>
      </c>
      <c r="B54" s="8" t="n">
        <v>3</v>
      </c>
      <c r="C54" s="21" t="n">
        <v>920</v>
      </c>
      <c r="D54" s="5">
        <f>C54*Premissas!$C$30</f>
        <v/>
      </c>
      <c r="E54" s="5">
        <f>D54*Premissas!$E$29</f>
        <v/>
      </c>
      <c r="F54" s="5">
        <f>D54*Premissas!$E$24</f>
        <v/>
      </c>
      <c r="G54" s="5">
        <f>D54*Premissas!$E$26</f>
        <v/>
      </c>
    </row>
    <row r="55">
      <c r="A55" s="4" t="inlineStr">
        <is>
          <t>T12</t>
        </is>
      </c>
      <c r="B55" s="8" t="n">
        <v>3</v>
      </c>
      <c r="C55" s="21" t="n">
        <v>1100</v>
      </c>
      <c r="D55" s="5">
        <f>C55*Premissas!$C$30</f>
        <v/>
      </c>
      <c r="E55" s="5">
        <f>D55*Premissas!$E$29</f>
        <v/>
      </c>
      <c r="F55" s="5">
        <f>D55*Premissas!$E$24</f>
        <v/>
      </c>
      <c r="G55" s="5">
        <f>D55*Premissas!$E$26</f>
        <v/>
      </c>
    </row>
    <row r="56">
      <c r="A56" s="22" t="inlineStr">
        <is>
          <t>Total</t>
        </is>
      </c>
      <c r="B56" s="23" t="inlineStr"/>
      <c r="C56" s="23" t="inlineStr"/>
      <c r="D56" s="24">
        <f>SUM(D44:D55)</f>
        <v/>
      </c>
      <c r="E56" s="24">
        <f>SUM(E44:E55)</f>
        <v/>
      </c>
      <c r="F56" s="24">
        <f>SUM(F44:F55)</f>
        <v/>
      </c>
      <c r="G56" s="24">
        <f>SUM(G44:G55)</f>
        <v/>
      </c>
    </row>
    <row r="57">
      <c r="A57" s="4" t="inlineStr">
        <is>
          <t>Ano 1</t>
        </is>
      </c>
      <c r="E57" s="17">
        <f>SUM(E44:E47)</f>
        <v/>
      </c>
    </row>
    <row r="58">
      <c r="A58" s="4" t="inlineStr">
        <is>
          <t>Ano 2</t>
        </is>
      </c>
      <c r="E58" s="17">
        <f>SUM(E48:E51)</f>
        <v/>
      </c>
    </row>
    <row r="59">
      <c r="A59" s="4" t="inlineStr">
        <is>
          <t>Ano 3</t>
        </is>
      </c>
      <c r="E59" s="17">
        <f>SUM(E52:E55)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2026-08-25T01:23:55Z</dcterms:created>
  <dcterms:modified xmlns:dcterms="http://purl.org/dc/terms/" xmlns:xsi="http://www.w3.org/2001/XMLSchema-instance" xsi:type="dcterms:W3CDTF">2026-08-25T01:23:55Z</dcterms:modified>
</cp:coreProperties>
</file>